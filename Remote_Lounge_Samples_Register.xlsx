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b721d0202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6a6c82f4b64215"/>
    <x:sheet xmlns:r="http://schemas.openxmlformats.org/officeDocument/2006/relationships" name="Samples Register" sheetId="2" r:id="R5059e84636f149b0"/>
    <x:sheet xmlns:r="http://schemas.openxmlformats.org/officeDocument/2006/relationships" name="General Requirements" sheetId="3" r:id="R38dd6cb96ab048b0"/>
    <x:sheet xmlns:r="http://schemas.openxmlformats.org/officeDocument/2006/relationships" name="Review Coverage" sheetId="4" r:id="R936174c1c4504220"/>
    <x:sheet xmlns:r="http://schemas.openxmlformats.org/officeDocument/2006/relationships" name="_Lists" sheetId="5" r:id="Rd61cfeca4637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C6EFCE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ill>
        <x:patternFill patternType="solid">
          <x:bgColor rgb="FFDDEBF7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1130ed95a4d63" /><Relationship Type="http://schemas.openxmlformats.org/officeDocument/2006/relationships/theme" Target="/xl/theme/theme1.xml" Id="R40c5051cac6c456f" /><Relationship Type="http://schemas.openxmlformats.org/officeDocument/2006/relationships/sharedStrings" Target="/xl/sharedStrings.xml" Id="R5eb414c8ed154899" /><Relationship Type="http://schemas.openxmlformats.org/officeDocument/2006/relationships/worksheet" Target="/xl/worksheets/sheet1.xml" Id="Rab6a6c82f4b64215" /><Relationship Type="http://schemas.openxmlformats.org/officeDocument/2006/relationships/worksheet" Target="/xl/worksheets/sheet2.xml" Id="R5059e84636f149b0" /><Relationship Type="http://schemas.openxmlformats.org/officeDocument/2006/relationships/worksheet" Target="/xl/worksheets/sheet3.xml" Id="R38dd6cb96ab048b0" /><Relationship Type="http://schemas.openxmlformats.org/officeDocument/2006/relationships/worksheet" Target="/xl/worksheets/sheet4.xml" Id="R936174c1c4504220" /><Relationship Type="http://schemas.openxmlformats.org/officeDocument/2006/relationships/worksheet" Target="/xl/worksheets/sheet5.xml" Id="Rd61cfeca46374c3a" /></Relationships>
</file>

<file path=xl/tables/table1.xml><?xml version="1.0" encoding="utf-8"?>
<x:table xmlns:x="http://schemas.openxmlformats.org/spreadsheetml/2006/main" id="1" name="SamplesRegisterTable" displayName="SamplesRegisterTable" ref="A1:T206" headerRowCount="1" totalsRowCount="0" totalsRowShown="0">
  <x:tableColumns count="20">
    <x:tableColumn id="1" name="ID"/>
    <x:tableColumn id="2" name="Discipline"/>
    <x:tableColumn id="3" name="Package"/>
    <x:tableColumn id="4" name="Sample / Item"/>
    <x:tableColumn id="5" name="Requirement / Size / Quantity"/>
    <x:tableColumn id="6" name="Requirement Type"/>
    <x:tableColumn id="7" name="Priority"/>
    <x:tableColumn id="8" name="Responsible Subcontractor"/>
    <x:tableColumn id="9" name="Target Submission Date"/>
    <x:tableColumn id="10" name="Actual Submission Date"/>
    <x:tableColumn id="11" name="Aconex / Transmittal Ref"/>
    <x:tableColumn id="12" name="Review Status"/>
    <x:tableColumn id="13" name="Approved Date"/>
    <x:tableColumn id="14" name="Document"/>
    <x:tableColumn id="15" name="Clause / Section"/>
    <x:tableColumn id="16" name="PDF Page"/>
    <x:tableColumn id="17" name="Source Reference"/>
    <x:tableColumn id="18" name="Source Requirement"/>
    <x:tableColumn id="19" name="Duplicate / Coordination Note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d9b0fbcb644f3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31" t="str">
        <x:v>T3/T4 REMOTE LOUNGE – SAMPLES REGISTER</x:v>
      </x:c>
      <x:c r="B1" s="31"/>
      <x:c r="C1" s="31"/>
      <x:c r="D1" s="31"/>
      <x:c r="E1" s="31"/>
      <x:c r="F1" s="31"/>
      <x:c r="G1" s="31"/>
      <x:c r="H1" s="31"/>
    </x:row>
    <x:row r="3">
      <x:c r="A3" s="6" t="str">
        <x:v>KPI</x:v>
      </x:c>
      <x:c r="B3" s="6" t="str">
        <x:v>Count</x:v>
      </x:c>
      <x:c r="E3" s="37" t="str">
        <x:v>HOW TO USE
• Assign a responsible subcontractor.
• Set target submission dates with the required review period before procurement/installation.
• Record Aconex/transmittal references and review status.
• Retain approved physical samples on site where required.
• Source Reference and Source Requirement show exactly where each obligation comes from.
Yellow requirement types are conditional; red priority is a hold point/critical item.</x:v>
      </x:c>
      <x:c r="F3" s="37"/>
      <x:c r="G3" s="37"/>
      <x:c r="H3" s="37"/>
    </x:row>
    <x:row r="4">
      <x:c r="A4" t="str">
        <x:v>Total tracked sample requirements</x:v>
      </x:c>
      <x:c r="B4" t="n">
        <x:v>205</x:v>
      </x:c>
      <x:c r="E4" s="37"/>
      <x:c r="F4" s="37"/>
      <x:c r="G4" s="37"/>
      <x:c r="H4" s="37"/>
    </x:row>
    <x:row r="5">
      <x:c r="A5" t="str">
        <x:v>High / Critical priority</x:v>
      </x:c>
      <x:c r="B5" t="n">
        <x:f>COUNTIF('Samples Register'!G2:G206,"High")+COUNTIF('Samples Register'!G2:G206,"Critical")</x:f>
        <x:v>195</x:v>
      </x:c>
      <x:c r="E5" s="37"/>
      <x:c r="F5" s="37"/>
      <x:c r="G5" s="37"/>
      <x:c r="H5" s="37"/>
    </x:row>
    <x:row r="6">
      <x:c r="A6" t="str">
        <x:v>Approved / Approved with Comments</x:v>
      </x:c>
      <x:c r="B6" t="n">
        <x:f>COUNTIF('Samples Register'!L2:L206,"Approved")+COUNTIF('Samples Register'!L2:L206,"Approved with Comments")</x:f>
        <x:v>0</x:v>
      </x:c>
      <x:c r="E6" s="37"/>
      <x:c r="F6" s="37"/>
      <x:c r="G6" s="37"/>
      <x:c r="H6" s="37"/>
    </x:row>
    <x:row r="7">
      <x:c r="A7" t="str">
        <x:v>Outstanding</x:v>
      </x:c>
      <x:c r="B7" t="n">
        <x:f>B4-B6-COUNTIF('Samples Register'!L2:L206,"Not Required")</x:f>
        <x:v>205</x:v>
      </x:c>
      <x:c r="E7" s="37"/>
      <x:c r="F7" s="37"/>
      <x:c r="G7" s="37"/>
      <x:c r="H7" s="37"/>
    </x:row>
    <x:row r="8">
      <x:c r="E8" s="37"/>
      <x:c r="F8" s="37"/>
      <x:c r="G8" s="37"/>
      <x:c r="H8" s="37"/>
    </x:row>
    <x:row r="9">
      <x:c r="A9" s="6" t="str">
        <x:v>Discipline</x:v>
      </x:c>
      <x:c r="B9" s="6" t="str">
        <x:v>Total</x:v>
      </x:c>
      <x:c r="C9" s="6" t="str">
        <x:v>Approved</x:v>
      </x:c>
    </x:row>
    <x:row r="10">
      <x:c r="A10" t="str">
        <x:v>Architectural</x:v>
      </x:c>
      <x:c r="B10" t="n">
        <x:f>COUNTIF('Samples Register'!B:B,A10)</x:f>
        <x:v>137</x:v>
      </x:c>
      <x:c r="C10" t="n">
        <x:f>COUNTIFS('Samples Register'!B:B,A10,'Samples Register'!L:L,"Approved")+COUNTIFS('Samples Register'!B:B,A10,'Samples Register'!L:L,"Approved with Comments")</x:f>
        <x:v>0</x:v>
      </x:c>
    </x:row>
    <x:row r="11">
      <x:c r="A11" t="str">
        <x:v>Structural</x:v>
      </x:c>
      <x:c r="B11" t="n">
        <x:f>COUNTIF('Samples Register'!B:B,A11)</x:f>
        <x:v>8</x:v>
      </x:c>
      <x:c r="C11" t="n">
        <x:f>COUNTIFS('Samples Register'!B:B,A11,'Samples Register'!L:L,"Approved")+COUNTIFS('Samples Register'!B:B,A11,'Samples Register'!L:L,"Approved with Comments")</x:f>
        <x:v>0</x:v>
      </x:c>
    </x:row>
    <x:row r="12">
      <x:c r="A12" t="str">
        <x:v>Electrical</x:v>
      </x:c>
      <x:c r="B12" t="n">
        <x:f>COUNTIF('Samples Register'!B:B,A12)</x:f>
        <x:v>5</x:v>
      </x:c>
      <x:c r="C12" t="n">
        <x:f>COUNTIFS('Samples Register'!B:B,A12,'Samples Register'!L:L,"Approved")+COUNTIFS('Samples Register'!B:B,A12,'Samples Register'!L:L,"Approved with Comments")</x:f>
        <x:v>0</x:v>
      </x:c>
    </x:row>
    <x:row r="13">
      <x:c r="A13" t="str">
        <x:v>Hydraulic</x:v>
      </x:c>
      <x:c r="B13" t="n">
        <x:f>COUNTIF('Samples Register'!B:B,A13)</x:f>
        <x:v>15</x:v>
      </x:c>
      <x:c r="C13" t="n">
        <x:f>COUNTIFS('Samples Register'!B:B,A13,'Samples Register'!L:L,"Approved")+COUNTIFS('Samples Register'!B:B,A13,'Samples Register'!L:L,"Approved with Comments")</x:f>
        <x:v>0</x:v>
      </x:c>
    </x:row>
    <x:row r="14">
      <x:c r="A14" t="str">
        <x:v>Mechanical</x:v>
      </x:c>
      <x:c r="B14" t="n">
        <x:f>COUNTIF('Samples Register'!B:B,A14)</x:f>
        <x:v>27</x:v>
      </x:c>
      <x:c r="C14" t="n">
        <x:f>COUNTIFS('Samples Register'!B:B,A14,'Samples Register'!L:L,"Approved")+COUNTIFS('Samples Register'!B:B,A14,'Samples Register'!L:L,"Approved with Comments")</x:f>
        <x:v>0</x:v>
      </x:c>
    </x:row>
    <x:row r="15">
      <x:c r="A15" t="str">
        <x:v>Fire</x:v>
      </x:c>
      <x:c r="B15" t="n">
        <x:f>COUNTIF('Samples Register'!B:B,A15)</x:f>
        <x:v>2</x:v>
      </x:c>
      <x:c r="C15" t="n">
        <x:f>COUNTIFS('Samples Register'!B:B,A15,'Samples Register'!L:L,"Approved")+COUNTIFS('Samples Register'!B:B,A15,'Samples Register'!L:L,"Approved with Comments")</x:f>
        <x:v>0</x:v>
      </x:c>
    </x:row>
    <x:row r="16">
      <x:c r="A16" t="str">
        <x:v>Security</x:v>
      </x:c>
      <x:c r="B16" t="n">
        <x:f>COUNTIF('Samples Register'!B:B,A16)</x:f>
        <x:v>6</x:v>
      </x:c>
      <x:c r="C16" t="n">
        <x:f>COUNTIFS('Samples Register'!B:B,A16,'Samples Register'!L:L,"Approved")+COUNTIFS('Samples Register'!B:B,A16,'Samples Register'!L:L,"Approved with Comments")</x:f>
        <x:v>0</x:v>
      </x:c>
    </x:row>
    <x:row r="17">
      <x:c r="A17" t="str">
        <x:v>Civil</x:v>
      </x:c>
      <x:c r="B17" t="n">
        <x:f>COUNTIF('Samples Register'!B:B,A17)</x:f>
        <x:v>3</x:v>
      </x:c>
      <x:c r="C17" t="n">
        <x:f>COUNTIFS('Samples Register'!B:B,A17,'Samples Register'!L:L,"Approved")+COUNTIFS('Samples Register'!B:B,A17,'Samples Register'!L:L,"Approved with Comments")</x:f>
        <x:v>0</x:v>
      </x:c>
    </x:row>
    <x:row r="18">
      <x:c r="A18" t="str">
        <x:v>Civil / AFL</x:v>
      </x:c>
      <x:c r="B18" t="n">
        <x:f>COUNTIF('Samples Register'!B:B,A18)</x:f>
        <x:v>2</x:v>
      </x:c>
      <x:c r="C18" t="n">
        <x:f>COUNTIFS('Samples Register'!B:B,A18,'Samples Register'!L:L,"Approved")+COUNTIFS('Samples Register'!B:B,A18,'Samples Register'!L:L,"Approved with Comments")</x:f>
        <x:v>0</x:v>
      </x:c>
    </x:row>
  </x:sheetData>
  <x:mergeCells>
    <x:mergeCell ref="A1:H1"/>
    <x:mergeCell ref="E3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35" hidden="0" customWidth="1"/>
    <x:col min="5" max="5" width="52" hidden="0" customWidth="1"/>
    <x:col min="6" max="6" width="24" hidden="0" customWidth="1"/>
    <x:col min="7" max="7" width="12" hidden="0" customWidth="1"/>
    <x:col min="8" max="8" width="24" hidden="0" customWidth="1"/>
    <x:col min="9" max="9" width="17" hidden="0" customWidth="1"/>
    <x:col min="10" max="10" width="17" hidden="0" customWidth="1"/>
    <x:col min="11" max="11" width="22" hidden="0" customWidth="1"/>
    <x:col min="12" max="12" width="19" hidden="0" customWidth="1"/>
    <x:col min="13" max="13" width="16" hidden="0" customWidth="1"/>
    <x:col min="14" max="14" width="34" hidden="0" customWidth="1"/>
    <x:col min="15" max="15" width="36" hidden="0" customWidth="1"/>
    <x:col min="16" max="16" width="10" hidden="0" customWidth="1"/>
    <x:col min="17" max="17" width="52" hidden="0" customWidth="1"/>
    <x:col min="18" max="18" width="55" hidden="0" customWidth="1"/>
    <x:col min="19" max="19" width="40" hidden="0" customWidth="1"/>
    <x:col min="20" max="20" width="34" hidden="0" customWidth="1"/>
  </x:cols>
  <x:sheetData>
    <x:row r="1">
      <x:c r="A1" s="6" t="str">
        <x:v>ID</x:v>
      </x:c>
      <x:c r="B1" s="6" t="str">
        <x:v>Discipline</x:v>
      </x:c>
      <x:c r="C1" s="6" t="str">
        <x:v>Package</x:v>
      </x:c>
      <x:c r="D1" s="6" t="str">
        <x:v>Sample / Item</x:v>
      </x:c>
      <x:c r="E1" s="6" t="str">
        <x:v>Requirement / Size / Quantity</x:v>
      </x:c>
      <x:c r="F1" s="6" t="str">
        <x:v>Requirement Type</x:v>
      </x:c>
      <x:c r="G1" s="6" t="str">
        <x:v>Priority</x:v>
      </x:c>
      <x:c r="H1" s="6" t="str">
        <x:v>Responsible Subcontractor</x:v>
      </x:c>
      <x:c r="I1" s="6" t="str">
        <x:v>Target Submission Date</x:v>
      </x:c>
      <x:c r="J1" s="6" t="str">
        <x:v>Actual Submission Date</x:v>
      </x:c>
      <x:c r="K1" s="6" t="str">
        <x:v>Aconex / Transmittal Ref</x:v>
      </x:c>
      <x:c r="L1" s="6" t="str">
        <x:v>Review Status</x:v>
      </x:c>
      <x:c r="M1" s="6" t="str">
        <x:v>Approved Date</x:v>
      </x:c>
      <x:c r="N1" s="6" t="str">
        <x:v>Document</x:v>
      </x:c>
      <x:c r="O1" s="6" t="str">
        <x:v>Clause / Section</x:v>
      </x:c>
      <x:c r="P1" s="6" t="str">
        <x:v>PDF Page</x:v>
      </x:c>
      <x:c r="Q1" s="6" t="str">
        <x:v>Source Reference</x:v>
      </x:c>
      <x:c r="R1" s="6" t="str">
        <x:v>Source Requirement</x:v>
      </x:c>
      <x:c r="S1" s="6" t="str">
        <x:v>Duplicate / Coordination Note</x:v>
      </x:c>
      <x:c r="T1" s="6" t="str">
        <x:v>Comments</x:v>
      </x:c>
    </x:row>
    <x:row r="2">
      <x:c r="A2" s="12" t="str">
        <x:v>SMP-001</x:v>
      </x:c>
      <x:c r="B2" s="12" t="str">
        <x:v>Architectural</x:v>
      </x:c>
      <x:c r="C2" s="12" t="str">
        <x:v>Applied wall finishes</x:v>
      </x:c>
      <x:c r="D2" s="14" t="str">
        <x:v>Wall finish – exposed fixing</x:v>
      </x:c>
      <x:c r="E2" s="14" t="str">
        <x:v>Sample. Generally minimum 3 samples; timber: 9 samples showing 3 variants of each timber type.</x:v>
      </x:c>
      <x:c r="F2" s="14" t="str">
        <x:v>Mandatory where documented</x:v>
      </x:c>
      <x:c r="G2" s="14" t="str">
        <x:v>High</x:v>
      </x:c>
      <x:c r="H2" s="14" t="str"/>
      <x:c r="I2" s="16" t="str"/>
      <x:c r="J2" s="16" t="str"/>
      <x:c r="K2" s="14" t="str"/>
      <x:c r="L2" s="14" t="str">
        <x:v>Not Started</x:v>
      </x:c>
      <x:c r="M2" s="16" t="str"/>
      <x:c r="N2" s="14" t="str">
        <x:v>ARCS-25012-ARC-SPC-09900 Rev 2</x:v>
      </x:c>
      <x:c r="O2" s="14" t="str">
        <x:v>0641 – 2.1 GENERAL / Samples</x:v>
      </x:c>
      <x:c r="P2" s="14" t="n">
        <x:v>387</x:v>
      </x:c>
      <x:c r="Q2" s="14" t="str">
        <x:v>ARCS-25012-ARC-SPC-09900 Rev 2 | 0641 – 2.1 GENERAL / Samples | PDF p.387</x:v>
      </x:c>
      <x:c r="R2" s="14" t="str">
        <x:v>Provide samples of each documented type of the following finishes:</x:v>
      </x:c>
      <x:c r="S2" s="14" t="str"/>
      <x:c r="T2" s="14" t="str"/>
    </x:row>
    <x:row r="3">
      <x:c r="A3" s="12" t="str">
        <x:v>SMP-002</x:v>
      </x:c>
      <x:c r="B3" s="12" t="str">
        <x:v>Architectural</x:v>
      </x:c>
      <x:c r="C3" s="12" t="str">
        <x:v>Applied wall finishes</x:v>
      </x:c>
      <x:c r="D3" s="14" t="str">
        <x:v>Wall finish – fabric</x:v>
      </x:c>
      <x:c r="E3" s="14" t="str">
        <x:v>Sample. Generally minimum 3 samples; timber: 9 samples showing 3 variants of each timber type.</x:v>
      </x:c>
      <x:c r="F3" s="14" t="str">
        <x:v>Mandatory where documented</x:v>
      </x:c>
      <x:c r="G3" s="14" t="str">
        <x:v>High</x:v>
      </x:c>
      <x:c r="H3" s="14" t="str"/>
      <x:c r="I3" s="16" t="str"/>
      <x:c r="J3" s="16" t="str"/>
      <x:c r="K3" s="14" t="str"/>
      <x:c r="L3" s="14" t="str">
        <x:v>Not Started</x:v>
      </x:c>
      <x:c r="M3" s="16" t="str"/>
      <x:c r="N3" s="14" t="str">
        <x:v>ARCS-25012-ARC-SPC-09900 Rev 2</x:v>
      </x:c>
      <x:c r="O3" s="14" t="str">
        <x:v>0641 – 2.1 GENERAL / Samples</x:v>
      </x:c>
      <x:c r="P3" s="14" t="n">
        <x:v>387</x:v>
      </x:c>
      <x:c r="Q3" s="14" t="str">
        <x:v>ARCS-25012-ARC-SPC-09900 Rev 2 | 0641 – 2.1 GENERAL / Samples | PDF p.387</x:v>
      </x:c>
      <x:c r="R3" s="14" t="str">
        <x:v>Provide samples of each documented type of the following finishes:</x:v>
      </x:c>
      <x:c r="S3" s="14" t="str"/>
      <x:c r="T3" s="14" t="str"/>
    </x:row>
    <x:row r="4">
      <x:c r="A4" s="12" t="str">
        <x:v>SMP-003</x:v>
      </x:c>
      <x:c r="B4" s="12" t="str">
        <x:v>Architectural</x:v>
      </x:c>
      <x:c r="C4" s="12" t="str">
        <x:v>Applied wall finishes</x:v>
      </x:c>
      <x:c r="D4" s="14" t="str">
        <x:v>Wall finish – glass</x:v>
      </x:c>
      <x:c r="E4" s="14" t="str">
        <x:v>Sample. Generally minimum 3 samples; timber: 9 samples showing 3 variants of each timber type.</x:v>
      </x:c>
      <x:c r="F4" s="14" t="str">
        <x:v>Mandatory where documented</x:v>
      </x:c>
      <x:c r="G4" s="14" t="str">
        <x:v>High</x:v>
      </x:c>
      <x:c r="H4" s="14" t="str"/>
      <x:c r="I4" s="16" t="str"/>
      <x:c r="J4" s="16" t="str"/>
      <x:c r="K4" s="14" t="str"/>
      <x:c r="L4" s="14" t="str">
        <x:v>Not Started</x:v>
      </x:c>
      <x:c r="M4" s="16" t="str"/>
      <x:c r="N4" s="14" t="str">
        <x:v>ARCS-25012-ARC-SPC-09900 Rev 2</x:v>
      </x:c>
      <x:c r="O4" s="14" t="str">
        <x:v>0641 – 2.1 GENERAL / Samples</x:v>
      </x:c>
      <x:c r="P4" s="14" t="n">
        <x:v>387</x:v>
      </x:c>
      <x:c r="Q4" s="14" t="str">
        <x:v>ARCS-25012-ARC-SPC-09900 Rev 2 | 0641 – 2.1 GENERAL / Samples | PDF p.387</x:v>
      </x:c>
      <x:c r="R4" s="14" t="str">
        <x:v>Provide samples of each documented type of the following finishes:</x:v>
      </x:c>
      <x:c r="S4" s="14" t="str"/>
      <x:c r="T4" s="14" t="str"/>
    </x:row>
    <x:row r="5">
      <x:c r="A5" s="12" t="str">
        <x:v>SMP-004</x:v>
      </x:c>
      <x:c r="B5" s="12" t="str">
        <x:v>Architectural</x:v>
      </x:c>
      <x:c r="C5" s="12" t="str">
        <x:v>Applied wall finishes</x:v>
      </x:c>
      <x:c r="D5" s="14" t="str">
        <x:v>Wall finish – other wall panel</x:v>
      </x:c>
      <x:c r="E5" s="14" t="str">
        <x:v>Sample. Generally minimum 3 samples; timber: 9 samples showing 3 variants of each timber type.</x:v>
      </x:c>
      <x:c r="F5" s="14" t="str">
        <x:v>Mandatory where documented</x:v>
      </x:c>
      <x:c r="G5" s="14" t="str">
        <x:v>High</x:v>
      </x:c>
      <x:c r="H5" s="14" t="str"/>
      <x:c r="I5" s="16" t="str"/>
      <x:c r="J5" s="16" t="str"/>
      <x:c r="K5" s="14" t="str"/>
      <x:c r="L5" s="14" t="str">
        <x:v>Not Started</x:v>
      </x:c>
      <x:c r="M5" s="16" t="str"/>
      <x:c r="N5" s="14" t="str">
        <x:v>ARCS-25012-ARC-SPC-09900 Rev 2</x:v>
      </x:c>
      <x:c r="O5" s="14" t="str">
        <x:v>0641 – 2.1 GENERAL / Samples</x:v>
      </x:c>
      <x:c r="P5" s="14" t="n">
        <x:v>387</x:v>
      </x:c>
      <x:c r="Q5" s="14" t="str">
        <x:v>ARCS-25012-ARC-SPC-09900 Rev 2 | 0641 – 2.1 GENERAL / Samples | PDF p.387</x:v>
      </x:c>
      <x:c r="R5" s="14" t="str">
        <x:v>Provide samples of each documented type of the following finishes:</x:v>
      </x:c>
      <x:c r="S5" s="14" t="str"/>
      <x:c r="T5" s="14" t="str"/>
    </x:row>
    <x:row r="6">
      <x:c r="A6" s="12" t="str">
        <x:v>SMP-005</x:v>
      </x:c>
      <x:c r="B6" s="12" t="str">
        <x:v>Architectural</x:v>
      </x:c>
      <x:c r="C6" s="12" t="str">
        <x:v>Applied wall finishes</x:v>
      </x:c>
      <x:c r="D6" s="14" t="str">
        <x:v>Wall finish – proprietary board</x:v>
      </x:c>
      <x:c r="E6" s="14" t="str">
        <x:v>Finish + edge strips. Generally minimum 3 samples; timber: 9 samples showing 3 variants of each timber type.</x:v>
      </x:c>
      <x:c r="F6" s="14" t="str">
        <x:v>Mandatory where documented</x:v>
      </x:c>
      <x:c r="G6" s="14" t="str">
        <x:v>High</x:v>
      </x:c>
      <x:c r="H6" s="14" t="str"/>
      <x:c r="I6" s="16" t="str"/>
      <x:c r="J6" s="16" t="str"/>
      <x:c r="K6" s="14" t="str"/>
      <x:c r="L6" s="14" t="str">
        <x:v>Not Started</x:v>
      </x:c>
      <x:c r="M6" s="16" t="str"/>
      <x:c r="N6" s="14" t="str">
        <x:v>ARCS-25012-ARC-SPC-09900 Rev 2</x:v>
      </x:c>
      <x:c r="O6" s="14" t="str">
        <x:v>0641 – 2.1 GENERAL / Samples</x:v>
      </x:c>
      <x:c r="P6" s="14" t="n">
        <x:v>387</x:v>
      </x:c>
      <x:c r="Q6" s="14" t="str">
        <x:v>ARCS-25012-ARC-SPC-09900 Rev 2 | 0641 – 2.1 GENERAL / Samples | PDF p.387</x:v>
      </x:c>
      <x:c r="R6" s="14" t="str">
        <x:v>Provide samples of each documented type of the following finishes:</x:v>
      </x:c>
      <x:c r="S6" s="14" t="str"/>
      <x:c r="T6" s="14" t="str"/>
    </x:row>
    <x:row r="7">
      <x:c r="A7" s="12" t="str">
        <x:v>SMP-006</x:v>
      </x:c>
      <x:c r="B7" s="12" t="str">
        <x:v>Architectural</x:v>
      </x:c>
      <x:c r="C7" s="12" t="str">
        <x:v>Applied wall finishes</x:v>
      </x:c>
      <x:c r="D7" s="14" t="str">
        <x:v>Wall finish – stainless steel</x:v>
      </x:c>
      <x:c r="E7" s="14" t="str">
        <x:v>Sample. Generally minimum 3 samples; timber: 9 samples showing 3 variants of each timber type.</x:v>
      </x:c>
      <x:c r="F7" s="14" t="str">
        <x:v>Mandatory where documented</x:v>
      </x:c>
      <x:c r="G7" s="14" t="str">
        <x:v>High</x:v>
      </x:c>
      <x:c r="H7" s="14" t="str"/>
      <x:c r="I7" s="16" t="str"/>
      <x:c r="J7" s="16" t="str"/>
      <x:c r="K7" s="14" t="str"/>
      <x:c r="L7" s="14" t="str">
        <x:v>Not Started</x:v>
      </x:c>
      <x:c r="M7" s="16" t="str"/>
      <x:c r="N7" s="14" t="str">
        <x:v>ARCS-25012-ARC-SPC-09900 Rev 2</x:v>
      </x:c>
      <x:c r="O7" s="14" t="str">
        <x:v>0641 – 2.1 GENERAL / Samples</x:v>
      </x:c>
      <x:c r="P7" s="14" t="n">
        <x:v>387</x:v>
      </x:c>
      <x:c r="Q7" s="14" t="str">
        <x:v>ARCS-25012-ARC-SPC-09900 Rev 2 | 0641 – 2.1 GENERAL / Samples | PDF p.387</x:v>
      </x:c>
      <x:c r="R7" s="14" t="str">
        <x:v>Provide samples of each documented type of the following finishes:</x:v>
      </x:c>
      <x:c r="S7" s="14" t="str"/>
      <x:c r="T7" s="14" t="str"/>
    </x:row>
    <x:row r="8">
      <x:c r="A8" s="12" t="str">
        <x:v>SMP-007</x:v>
      </x:c>
      <x:c r="B8" s="12" t="str">
        <x:v>Architectural</x:v>
      </x:c>
      <x:c r="C8" s="12" t="str">
        <x:v>Applied wall finishes</x:v>
      </x:c>
      <x:c r="D8" s="14" t="str">
        <x:v>Wall finish – stone</x:v>
      </x:c>
      <x:c r="E8" s="14" t="str">
        <x:v>Sample. Generally minimum 3 samples; timber: 9 samples showing 3 variants of each timber type.</x:v>
      </x:c>
      <x:c r="F8" s="14" t="str">
        <x:v>Mandatory where documented</x:v>
      </x:c>
      <x:c r="G8" s="14" t="str">
        <x:v>High</x:v>
      </x:c>
      <x:c r="H8" s="14" t="str"/>
      <x:c r="I8" s="16" t="str"/>
      <x:c r="J8" s="16" t="str"/>
      <x:c r="K8" s="14" t="str"/>
      <x:c r="L8" s="14" t="str">
        <x:v>Not Started</x:v>
      </x:c>
      <x:c r="M8" s="16" t="str"/>
      <x:c r="N8" s="14" t="str">
        <x:v>ARCS-25012-ARC-SPC-09900 Rev 2</x:v>
      </x:c>
      <x:c r="O8" s="14" t="str">
        <x:v>0641 – 2.1 GENERAL / Samples</x:v>
      </x:c>
      <x:c r="P8" s="14" t="n">
        <x:v>387</x:v>
      </x:c>
      <x:c r="Q8" s="14" t="str">
        <x:v>ARCS-25012-ARC-SPC-09900 Rev 2 | 0641 – 2.1 GENERAL / Samples | PDF p.387</x:v>
      </x:c>
      <x:c r="R8" s="14" t="str">
        <x:v>Provide samples of each documented type of the following finishes:</x:v>
      </x:c>
      <x:c r="S8" s="14" t="str"/>
      <x:c r="T8" s="14" t="str"/>
    </x:row>
    <x:row r="9">
      <x:c r="A9" s="12" t="str">
        <x:v>SMP-008</x:v>
      </x:c>
      <x:c r="B9" s="12" t="str">
        <x:v>Architectural</x:v>
      </x:c>
      <x:c r="C9" s="12" t="str">
        <x:v>Applied wall finishes</x:v>
      </x:c>
      <x:c r="D9" s="14" t="str">
        <x:v>Wall finish – timber / veneer</x:v>
      </x:c>
      <x:c r="E9" s="14" t="str">
        <x:v>Show max expected variation. Generally minimum 3 samples; timber: 9 samples showing 3 variants of each timber type.</x:v>
      </x:c>
      <x:c r="F9" s="14" t="str">
        <x:v>Mandatory where documented</x:v>
      </x:c>
      <x:c r="G9" s="14" t="str">
        <x:v>High</x:v>
      </x:c>
      <x:c r="H9" s="14" t="str"/>
      <x:c r="I9" s="16" t="str"/>
      <x:c r="J9" s="16" t="str"/>
      <x:c r="K9" s="14" t="str"/>
      <x:c r="L9" s="14" t="str">
        <x:v>Not Started</x:v>
      </x:c>
      <x:c r="M9" s="16" t="str"/>
      <x:c r="N9" s="14" t="str">
        <x:v>ARCS-25012-ARC-SPC-09900 Rev 2</x:v>
      </x:c>
      <x:c r="O9" s="14" t="str">
        <x:v>0641 – 2.1 GENERAL / Samples</x:v>
      </x:c>
      <x:c r="P9" s="14" t="n">
        <x:v>387</x:v>
      </x:c>
      <x:c r="Q9" s="14" t="str">
        <x:v>ARCS-25012-ARC-SPC-09900 Rev 2 | 0641 – 2.1 GENERAL / Samples | PDF p.387</x:v>
      </x:c>
      <x:c r="R9" s="14" t="str">
        <x:v>Provide samples of each documented type of the following finishes:</x:v>
      </x:c>
      <x:c r="S9" s="14" t="str"/>
      <x:c r="T9" s="14" t="str"/>
    </x:row>
    <x:row r="10">
      <x:c r="A10" s="12" t="str">
        <x:v>SMP-009</x:v>
      </x:c>
      <x:c r="B10" s="12" t="str">
        <x:v>Architectural</x:v>
      </x:c>
      <x:c r="C10" s="12" t="str">
        <x:v>Carpet</x:v>
      </x:c>
      <x:c r="D10" s="14" t="str">
        <x:v>Broadloom carpet</x:v>
      </x:c>
      <x:c r="E10" s="14" t="str">
        <x:v>Manufacturer standard swatch.</x:v>
      </x:c>
      <x:c r="F10" s="14" t="str">
        <x:v>Mandatory</x:v>
      </x:c>
      <x:c r="G10" s="14" t="str">
        <x:v>High</x:v>
      </x:c>
      <x:c r="H10" s="14" t="str"/>
      <x:c r="I10" s="16" t="str"/>
      <x:c r="J10" s="16" t="str"/>
      <x:c r="K10" s="14" t="str"/>
      <x:c r="L10" s="14" t="str">
        <x:v>Not Started</x:v>
      </x:c>
      <x:c r="M10" s="16" t="str"/>
      <x:c r="N10" s="14" t="str">
        <x:v>ARCS-25012-ARC-SPC-09900 Rev 2</x:v>
      </x:c>
      <x:c r="O10" s="14" t="str">
        <x:v>0652 – 2.1 GENERAL / Samples</x:v>
      </x:c>
      <x:c r="P10" s="14" t="n">
        <x:v>411</x:v>
      </x:c>
      <x:c r="Q10" s="14" t="str">
        <x:v>ARCS-25012-ARC-SPC-09900 Rev 2 | 0652 – 2.1 GENERAL / Samples | PDF p.411</x:v>
      </x:c>
      <x:c r="R10" s="14" t="str">
        <x:v>Provide labelled production run samples demonstrating the range of colour, pattern, texture and pile yarn</x:v>
      </x:c>
      <x:c r="S10" s="14" t="str"/>
      <x:c r="T10" s="14" t="str"/>
    </x:row>
    <x:row r="11">
      <x:c r="A11" s="12" t="str">
        <x:v>SMP-010</x:v>
      </x:c>
      <x:c r="B11" s="12" t="str">
        <x:v>Architectural</x:v>
      </x:c>
      <x:c r="C11" s="12" t="str">
        <x:v>Carpet</x:v>
      </x:c>
      <x:c r="D11" s="14" t="str">
        <x:v>Carpet edge strip / trim / extrusion / nosing</x:v>
      </x:c>
      <x:c r="E11" s="14" t="str">
        <x:v>300 mm length EACH type.</x:v>
      </x:c>
      <x:c r="F11" s="14" t="str">
        <x:v>Mandatory</x:v>
      </x:c>
      <x:c r="G11" s="14" t="str">
        <x:v>High</x:v>
      </x:c>
      <x:c r="H11" s="14" t="str"/>
      <x:c r="I11" s="16" t="str"/>
      <x:c r="J11" s="16" t="str"/>
      <x:c r="K11" s="14" t="str"/>
      <x:c r="L11" s="14" t="str">
        <x:v>Not Started</x:v>
      </x:c>
      <x:c r="M11" s="16" t="str"/>
      <x:c r="N11" s="14" t="str">
        <x:v>ARCS-25012-ARC-SPC-09900 Rev 2</x:v>
      </x:c>
      <x:c r="O11" s="14" t="str">
        <x:v>0652 – 2.1 GENERAL / Samples</x:v>
      </x:c>
      <x:c r="P11" s="14" t="n">
        <x:v>411</x:v>
      </x:c>
      <x:c r="Q11" s="14" t="str">
        <x:v>ARCS-25012-ARC-SPC-09900 Rev 2 | 0652 – 2.1 GENERAL / Samples | PDF p.411</x:v>
      </x:c>
      <x:c r="R11" s="14" t="str">
        <x:v>Provide labelled production run samples demonstrating the range of colour, pattern, texture and pile yarn</x:v>
      </x:c>
      <x:c r="S11" s="14" t="str"/>
      <x:c r="T11" s="14" t="str"/>
    </x:row>
    <x:row r="12">
      <x:c r="A12" s="12" t="str">
        <x:v>SMP-011</x:v>
      </x:c>
      <x:c r="B12" s="12" t="str">
        <x:v>Architectural</x:v>
      </x:c>
      <x:c r="C12" s="12" t="str">
        <x:v>Carpet</x:v>
      </x:c>
      <x:c r="D12" s="14" t="str">
        <x:v>Carpet penetration access cut</x:v>
      </x:c>
      <x:c r="E12" s="14" t="str">
        <x:v>1 production carpet sample with documented penetration access cut.</x:v>
      </x:c>
      <x:c r="F12" s="14" t="str">
        <x:v>Mandatory</x:v>
      </x:c>
      <x:c r="G12" s="14" t="str">
        <x:v>High</x:v>
      </x:c>
      <x:c r="H12" s="14" t="str"/>
      <x:c r="I12" s="16" t="str"/>
      <x:c r="J12" s="16" t="str"/>
      <x:c r="K12" s="14" t="str"/>
      <x:c r="L12" s="14" t="str">
        <x:v>Not Started</x:v>
      </x:c>
      <x:c r="M12" s="16" t="str"/>
      <x:c r="N12" s="14" t="str">
        <x:v>ARCS-25012-ARC-SPC-09900 Rev 2</x:v>
      </x:c>
      <x:c r="O12" s="14" t="str">
        <x:v>0652 – 2.1 GENERAL / Samples</x:v>
      </x:c>
      <x:c r="P12" s="14" t="n">
        <x:v>411</x:v>
      </x:c>
      <x:c r="Q12" s="14" t="str">
        <x:v>ARCS-25012-ARC-SPC-09900 Rev 2 | 0652 – 2.1 GENERAL / Samples | PDF p.411</x:v>
      </x:c>
      <x:c r="R12" s="14" t="str">
        <x:v>Provide labelled production run samples demonstrating the range of colour, pattern, texture and pile yarn</x:v>
      </x:c>
      <x:c r="S12" s="14" t="str"/>
      <x:c r="T12" s="14" t="str"/>
    </x:row>
    <x:row r="13">
      <x:c r="A13" s="12" t="str">
        <x:v>SMP-012</x:v>
      </x:c>
      <x:c r="B13" s="12" t="str">
        <x:v>Architectural</x:v>
      </x:c>
      <x:c r="C13" s="12" t="str">
        <x:v>Carpet</x:v>
      </x:c>
      <x:c r="D13" s="14" t="str">
        <x:v>Carpet stitched seam</x:v>
      </x:c>
      <x:c r="E13" s="14" t="str">
        <x:v>1 sample minimum 1000 mm.</x:v>
      </x:c>
      <x:c r="F13" s="14" t="str">
        <x:v>Mandatory</x:v>
      </x:c>
      <x:c r="G13" s="14" t="str">
        <x:v>High</x:v>
      </x:c>
      <x:c r="H13" s="14" t="str"/>
      <x:c r="I13" s="16" t="str"/>
      <x:c r="J13" s="16" t="str"/>
      <x:c r="K13" s="14" t="str"/>
      <x:c r="L13" s="14" t="str">
        <x:v>Not Started</x:v>
      </x:c>
      <x:c r="M13" s="16" t="str"/>
      <x:c r="N13" s="14" t="str">
        <x:v>ARCS-25012-ARC-SPC-09900 Rev 2</x:v>
      </x:c>
      <x:c r="O13" s="14" t="str">
        <x:v>0652 – 2.1 GENERAL / Samples</x:v>
      </x:c>
      <x:c r="P13" s="14" t="n">
        <x:v>411</x:v>
      </x:c>
      <x:c r="Q13" s="14" t="str">
        <x:v>ARCS-25012-ARC-SPC-09900 Rev 2 | 0652 – 2.1 GENERAL / Samples | PDF p.411</x:v>
      </x:c>
      <x:c r="R13" s="14" t="str">
        <x:v>Provide labelled production run samples demonstrating the range of colour, pattern, texture and pile yarn</x:v>
      </x:c>
      <x:c r="S13" s="14" t="str"/>
      <x:c r="T13" s="14" t="str"/>
    </x:row>
    <x:row r="14">
      <x:c r="A14" s="12" t="str">
        <x:v>SMP-013</x:v>
      </x:c>
      <x:c r="B14" s="12" t="str">
        <x:v>Architectural</x:v>
      </x:c>
      <x:c r="C14" s="12" t="str">
        <x:v>Carpet</x:v>
      </x:c>
      <x:c r="D14" s="14" t="str">
        <x:v>Carpet tiles</x:v>
      </x:c>
      <x:c r="E14" s="14" t="str">
        <x:v>4 x tile size.</x:v>
      </x:c>
      <x:c r="F14" s="14" t="str">
        <x:v>Mandatory</x:v>
      </x:c>
      <x:c r="G14" s="14" t="str">
        <x:v>High</x:v>
      </x:c>
      <x:c r="H14" s="14" t="str"/>
      <x:c r="I14" s="16" t="str"/>
      <x:c r="J14" s="16" t="str"/>
      <x:c r="K14" s="14" t="str"/>
      <x:c r="L14" s="14" t="str">
        <x:v>Not Started</x:v>
      </x:c>
      <x:c r="M14" s="16" t="str"/>
      <x:c r="N14" s="14" t="str">
        <x:v>ARCS-25012-ARC-SPC-09900 Rev 2</x:v>
      </x:c>
      <x:c r="O14" s="14" t="str">
        <x:v>0652 – 2.1 GENERAL / Samples</x:v>
      </x:c>
      <x:c r="P14" s="14" t="n">
        <x:v>411</x:v>
      </x:c>
      <x:c r="Q14" s="14" t="str">
        <x:v>ARCS-25012-ARC-SPC-09900 Rev 2 | 0652 – 2.1 GENERAL / Samples | PDF p.411</x:v>
      </x:c>
      <x:c r="R14" s="14" t="str">
        <x:v>Provide labelled production run samples demonstrating the range of colour, pattern, texture and pile yarn</x:v>
      </x:c>
      <x:c r="S14" s="14" t="str"/>
      <x:c r="T14" s="14" t="str"/>
    </x:row>
    <x:row r="15">
      <x:c r="A15" s="12" t="str">
        <x:v>SMP-014</x:v>
      </x:c>
      <x:c r="B15" s="12" t="str">
        <x:v>Architectural</x:v>
      </x:c>
      <x:c r="C15" s="12" t="str">
        <x:v>Carpet</x:v>
      </x:c>
      <x:c r="D15" s="14" t="str">
        <x:v>Carpet underlay</x:v>
      </x:c>
      <x:c r="E15" s="14" t="str">
        <x:v>1 labelled sample at least 600 x 600 mm.</x:v>
      </x:c>
      <x:c r="F15" s="14" t="str">
        <x:v>Mandatory</x:v>
      </x:c>
      <x:c r="G15" s="14" t="str">
        <x:v>High</x:v>
      </x:c>
      <x:c r="H15" s="14" t="str"/>
      <x:c r="I15" s="16" t="str"/>
      <x:c r="J15" s="16" t="str"/>
      <x:c r="K15" s="14" t="str"/>
      <x:c r="L15" s="14" t="str">
        <x:v>Not Started</x:v>
      </x:c>
      <x:c r="M15" s="16" t="str"/>
      <x:c r="N15" s="14" t="str">
        <x:v>ARCS-25012-ARC-SPC-09900 Rev 2</x:v>
      </x:c>
      <x:c r="O15" s="14" t="str">
        <x:v>0652 – 2.1 GENERAL / Samples</x:v>
      </x:c>
      <x:c r="P15" s="14" t="n">
        <x:v>411</x:v>
      </x:c>
      <x:c r="Q15" s="14" t="str">
        <x:v>ARCS-25012-ARC-SPC-09900 Rev 2 | 0652 – 2.1 GENERAL / Samples | PDF p.411</x:v>
      </x:c>
      <x:c r="R15" s="14" t="str">
        <x:v>Provide labelled production run samples demonstrating the range of colour, pattern, texture and pile yarn</x:v>
      </x:c>
      <x:c r="S15" s="14" t="str"/>
      <x:c r="T15" s="14" t="str"/>
    </x:row>
    <x:row r="16">
      <x:c r="A16" s="12" t="str">
        <x:v>SMP-015</x:v>
      </x:c>
      <x:c r="B16" s="12" t="str">
        <x:v>Architectural</x:v>
      </x:c>
      <x:c r="C16" s="12" t="str">
        <x:v>Cementitious toppings</x:v>
      </x:c>
      <x:c r="D16" s="14" t="str">
        <x:v>Topping colouring products</x:v>
      </x:c>
      <x:c r="E16" s="14" t="str">
        <x:v>Sample.</x:v>
      </x:c>
      <x:c r="F16" s="14" t="str">
        <x:v>Mandatory</x:v>
      </x:c>
      <x:c r="G16" s="14" t="str">
        <x:v>Normal</x:v>
      </x:c>
      <x:c r="H16" s="14" t="str"/>
      <x:c r="I16" s="16" t="str"/>
      <x:c r="J16" s="16" t="str"/>
      <x:c r="K16" s="14" t="str"/>
      <x:c r="L16" s="14" t="str">
        <x:v>Not Started</x:v>
      </x:c>
      <x:c r="M16" s="16" t="str"/>
      <x:c r="N16" s="14" t="str">
        <x:v>ARCS-25012-ARC-SPC-09900 Rev 2</x:v>
      </x:c>
      <x:c r="O16" s="14" t="str">
        <x:v>0612 – 2.1 GENERAL / Samples</x:v>
      </x:c>
      <x:c r="P16" s="14" t="n">
        <x:v>50</x:v>
      </x:c>
      <x:c r="Q16" s="14" t="str">
        <x:v>ARCS-25012-ARC-SPC-09900 Rev 2 | 0612 – 2.1 GENERAL / Samples | PDF p.50</x:v>
      </x:c>
      <x:c r="R16" s="14" t="str">
        <x:v>Requirement: Provide samples of the following:</x:v>
      </x:c>
      <x:c r="S16" s="14" t="str"/>
      <x:c r="T16" s="14" t="str"/>
    </x:row>
    <x:row r="17">
      <x:c r="A17" s="12" t="str">
        <x:v>SMP-016</x:v>
      </x:c>
      <x:c r="B17" s="12" t="str">
        <x:v>Architectural</x:v>
      </x:c>
      <x:c r="C17" s="12" t="str">
        <x:v>Cementitious toppings</x:v>
      </x:c>
      <x:c r="D17" s="14" t="str">
        <x:v>Topping control-joint products</x:v>
      </x:c>
      <x:c r="E17" s="14" t="str">
        <x:v>Sample.</x:v>
      </x:c>
      <x:c r="F17" s="14" t="str">
        <x:v>Mandatory</x:v>
      </x:c>
      <x:c r="G17" s="14" t="str">
        <x:v>Normal</x:v>
      </x:c>
      <x:c r="H17" s="14" t="str"/>
      <x:c r="I17" s="16" t="str"/>
      <x:c r="J17" s="16" t="str"/>
      <x:c r="K17" s="14" t="str"/>
      <x:c r="L17" s="14" t="str">
        <x:v>Not Started</x:v>
      </x:c>
      <x:c r="M17" s="16" t="str"/>
      <x:c r="N17" s="14" t="str">
        <x:v>ARCS-25012-ARC-SPC-09900 Rev 2</x:v>
      </x:c>
      <x:c r="O17" s="14" t="str">
        <x:v>0612 – 2.1 GENERAL / Samples</x:v>
      </x:c>
      <x:c r="P17" s="14" t="n">
        <x:v>50</x:v>
      </x:c>
      <x:c r="Q17" s="14" t="str">
        <x:v>ARCS-25012-ARC-SPC-09900 Rev 2 | 0612 – 2.1 GENERAL / Samples | PDF p.50</x:v>
      </x:c>
      <x:c r="R17" s="14" t="str">
        <x:v>Requirement: Provide samples of the following:</x:v>
      </x:c>
      <x:c r="S17" s="14" t="str"/>
      <x:c r="T17" s="14" t="str"/>
    </x:row>
    <x:row r="18">
      <x:c r="A18" s="12" t="str">
        <x:v>SMP-017</x:v>
      </x:c>
      <x:c r="B18" s="12" t="str">
        <x:v>Architectural</x:v>
      </x:c>
      <x:c r="C18" s="12" t="str">
        <x:v>Cementitious toppings</x:v>
      </x:c>
      <x:c r="D18" s="14" t="str">
        <x:v>Topping surface-treatment products</x:v>
      </x:c>
      <x:c r="E18" s="14" t="str">
        <x:v>Sample.</x:v>
      </x:c>
      <x:c r="F18" s="14" t="str">
        <x:v>Mandatory</x:v>
      </x:c>
      <x:c r="G18" s="14" t="str">
        <x:v>Normal</x:v>
      </x:c>
      <x:c r="H18" s="14" t="str"/>
      <x:c r="I18" s="16" t="str"/>
      <x:c r="J18" s="16" t="str"/>
      <x:c r="K18" s="14" t="str"/>
      <x:c r="L18" s="14" t="str">
        <x:v>Not Started</x:v>
      </x:c>
      <x:c r="M18" s="16" t="str"/>
      <x:c r="N18" s="14" t="str">
        <x:v>ARCS-25012-ARC-SPC-09900 Rev 2</x:v>
      </x:c>
      <x:c r="O18" s="14" t="str">
        <x:v>0612 – 2.1 GENERAL / Samples</x:v>
      </x:c>
      <x:c r="P18" s="14" t="n">
        <x:v>50</x:v>
      </x:c>
      <x:c r="Q18" s="14" t="str">
        <x:v>ARCS-25012-ARC-SPC-09900 Rev 2 | 0612 – 2.1 GENERAL / Samples | PDF p.50</x:v>
      </x:c>
      <x:c r="R18" s="14" t="str">
        <x:v>Requirement: Provide samples of the following:</x:v>
      </x:c>
      <x:c r="S18" s="14" t="str"/>
      <x:c r="T18" s="14" t="str"/>
    </x:row>
    <x:row r="19">
      <x:c r="A19" s="12" t="str">
        <x:v>SMP-018</x:v>
      </x:c>
      <x:c r="B19" s="12" t="str">
        <x:v>Architectural</x:v>
      </x:c>
      <x:c r="C19" s="12" t="str">
        <x:v>Cladding</x:v>
      </x:c>
      <x:c r="D19" s="14" t="str">
        <x:v>Cladding material</x:v>
      </x:c>
      <x:c r="E19" s="14" t="str">
        <x:v>Minimum 300 x 300 mm; show range of variation available.</x:v>
      </x:c>
      <x:c r="F19" s="14" t="str">
        <x:v>Mandatory</x:v>
      </x:c>
      <x:c r="G19" s="14" t="str">
        <x:v>High</x:v>
      </x:c>
      <x:c r="H19" s="14" t="str"/>
      <x:c r="I19" s="16" t="str"/>
      <x:c r="J19" s="16" t="str"/>
      <x:c r="K19" s="14" t="str"/>
      <x:c r="L19" s="14" t="str">
        <x:v>Not Started</x:v>
      </x:c>
      <x:c r="M19" s="16" t="str"/>
      <x:c r="N19" s="14" t="str">
        <x:v>ARCS-25012-ARC-SPC-09900 Rev 2</x:v>
      </x:c>
      <x:c r="O19" s="14" t="str">
        <x:v>0430 – 2.1 GENERAL / Samples</x:v>
      </x:c>
      <x:c r="P19" s="14" t="n">
        <x:v>173</x:v>
      </x:c>
      <x:c r="Q19" s="14" t="str">
        <x:v>ARCS-25012-ARC-SPC-09900 Rev 2 | 0430 – 2.1 GENERAL / Samples | PDF p.173</x:v>
      </x:c>
      <x:c r="R19" s="14" t="str">
        <x:v>Provide samples of the cladding material showing the range of variation available.</x:v>
      </x:c>
      <x:c r="S19" s="14" t="str"/>
      <x:c r="T19" s="14" t="str"/>
    </x:row>
    <x:row r="20">
      <x:c r="A20" s="12" t="str">
        <x:v>SMP-019</x:v>
      </x:c>
      <x:c r="B20" s="12" t="str">
        <x:v>Architectural</x:v>
      </x:c>
      <x:c r="C20" s="12" t="str">
        <x:v>Door hardware</x:v>
      </x:c>
      <x:c r="D20" s="14" t="str">
        <x:v>Generic door hardware</x:v>
      </x:c>
      <x:c r="E20" s="14" t="str">
        <x:v>Sample hardware items used to meet descriptions that are not proprietary.</x:v>
      </x:c>
      <x:c r="F20" s="14" t="str">
        <x:v>Conditional – non-proprietary items</x:v>
      </x:c>
      <x:c r="G20" s="14" t="str">
        <x:v>High</x:v>
      </x:c>
      <x:c r="H20" s="14" t="str"/>
      <x:c r="I20" s="16" t="str"/>
      <x:c r="J20" s="16" t="str"/>
      <x:c r="K20" s="14" t="str"/>
      <x:c r="L20" s="14" t="str">
        <x:v>Not Started</x:v>
      </x:c>
      <x:c r="M20" s="16" t="str"/>
      <x:c r="N20" s="14" t="str">
        <x:v>ARCS-25012-ARC-SPC-09900 Rev 2</x:v>
      </x:c>
      <x:c r="O20" s="14" t="str">
        <x:v>0455 – 2.1 GENERAL / Samples</x:v>
      </x:c>
      <x:c r="P20" s="14" t="n">
        <x:v>220</x:v>
      </x:c>
      <x:c r="Q20" s="14" t="str">
        <x:v>ARCS-25012-ARC-SPC-09900 Rev 2 | 0455 – 2.1 GENERAL / Samples | PDF p.220</x:v>
      </x:c>
      <x:c r="R20" s="14" t="str">
        <x:v>Generic items: Provide samples of hardware items offered as meeting the description of items not specified as proprietary items.</x:v>
      </x:c>
      <x:c r="S20" s="14" t="str"/>
      <x:c r="T20" s="14" t="str"/>
    </x:row>
    <x:row r="21">
      <x:c r="A21" s="12" t="str">
        <x:v>SMP-020</x:v>
      </x:c>
      <x:c r="B21" s="12" t="str">
        <x:v>Architectural</x:v>
      </x:c>
      <x:c r="C21" s="12" t="str">
        <x:v>Door hardware</x:v>
      </x:c>
      <x:c r="D21" s="14" t="str">
        <x:v>Reconditioned door hardware</x:v>
      </x:c>
      <x:c r="E21" s="14" t="str">
        <x:v>Sample recovered/reconditioned hardware offered.</x:v>
      </x:c>
      <x:c r="F21" s="14" t="str">
        <x:v>Conditional – if proposed</x:v>
      </x:c>
      <x:c r="G21" s="14" t="str">
        <x:v>Normal</x:v>
      </x:c>
      <x:c r="H21" s="14" t="str"/>
      <x:c r="I21" s="16" t="str"/>
      <x:c r="J21" s="16" t="str"/>
      <x:c r="K21" s="14" t="str"/>
      <x:c r="L21" s="14" t="str">
        <x:v>Not Started</x:v>
      </x:c>
      <x:c r="M21" s="16" t="str"/>
      <x:c r="N21" s="14" t="str">
        <x:v>ARCS-25012-ARC-SPC-09900 Rev 2</x:v>
      </x:c>
      <x:c r="O21" s="14" t="str">
        <x:v>0455 – 2.1 GENERAL / Samples</x:v>
      </x:c>
      <x:c r="P21" s="14" t="n">
        <x:v>220</x:v>
      </x:c>
      <x:c r="Q21" s="14" t="str">
        <x:v>ARCS-25012-ARC-SPC-09900 Rev 2 | 0455 – 2.1 GENERAL / Samples | PDF p.220</x:v>
      </x:c>
      <x:c r="R21" s="14" t="str">
        <x:v>Reconditioned items: Provide samples of hardware items offered as meeting the standard of cleaning, repair and testing of recovered items.</x:v>
      </x:c>
      <x:c r="S21" s="14" t="str"/>
      <x:c r="T21" s="14" t="str"/>
    </x:row>
    <x:row r="22">
      <x:c r="A22" s="12" t="str">
        <x:v>SMP-021</x:v>
      </x:c>
      <x:c r="B22" s="12" t="str">
        <x:v>Architectural</x:v>
      </x:c>
      <x:c r="C22" s="12" t="str">
        <x:v>Doors &amp; access panels</x:v>
      </x:c>
      <x:c r="D22" s="14" t="str">
        <x:v>Doors/access panels – frame / louvre / slat sections</x:v>
      </x:c>
      <x:c r="E22" s="14" t="str">
        <x:v>2 samples.</x:v>
      </x:c>
      <x:c r="F22" s="14" t="str">
        <x:v>Mandatory</x:v>
      </x:c>
      <x:c r="G22" s="14" t="str">
        <x:v>High</x:v>
      </x:c>
      <x:c r="H22" s="14" t="str"/>
      <x:c r="I22" s="16" t="str"/>
      <x:c r="J22" s="16" t="str"/>
      <x:c r="K22" s="14" t="str"/>
      <x:c r="L22" s="14" t="str">
        <x:v>Not Started</x:v>
      </x:c>
      <x:c r="M22" s="16" t="str"/>
      <x:c r="N22" s="14" t="str">
        <x:v>ARCS-25012-ARC-SPC-09900 Rev 2</x:v>
      </x:c>
      <x:c r="O22" s="14" t="str">
        <x:v>0453 – 2.1 GENERAL / Samples</x:v>
      </x:c>
      <x:c r="P22" s="14" t="n">
        <x:v>204</x:v>
      </x:c>
      <x:c r="Q22" s="14" t="str">
        <x:v>ARCS-25012-ARC-SPC-09900 Rev 2 | 0453 – 2.1 GENERAL / Samples | PDF p.204</x:v>
      </x:c>
      <x:c r="R22" s="14" t="str">
        <x:v>Requirement: Provide 2 samples as follows:</x:v>
      </x:c>
      <x:c r="S22" s="14" t="str"/>
      <x:c r="T22" s="14" t="str"/>
    </x:row>
    <x:row r="23">
      <x:c r="A23" s="12" t="str">
        <x:v>SMP-022</x:v>
      </x:c>
      <x:c r="B23" s="12" t="str">
        <x:v>Architectural</x:v>
      </x:c>
      <x:c r="C23" s="12" t="str">
        <x:v>Doors &amp; access panels</x:v>
      </x:c>
      <x:c r="D23" s="14" t="str">
        <x:v>Doors/access panels – prefinished colour material</x:v>
      </x:c>
      <x:c r="E23" s="14" t="str">
        <x:v>2 samples; anodised/powder-coated extrusions/sheet; show limits of variation.</x:v>
      </x:c>
      <x:c r="F23" s="14" t="str">
        <x:v>Mandatory</x:v>
      </x:c>
      <x:c r="G23" s="14" t="str">
        <x:v>High</x:v>
      </x:c>
      <x:c r="H23" s="14" t="str"/>
      <x:c r="I23" s="16" t="str"/>
      <x:c r="J23" s="16" t="str"/>
      <x:c r="K23" s="14" t="str"/>
      <x:c r="L23" s="14" t="str">
        <x:v>Not Started</x:v>
      </x:c>
      <x:c r="M23" s="16" t="str"/>
      <x:c r="N23" s="14" t="str">
        <x:v>ARCS-25012-ARC-SPC-09900 Rev 2</x:v>
      </x:c>
      <x:c r="O23" s="14" t="str">
        <x:v>0453 – 2.1 GENERAL / Samples</x:v>
      </x:c>
      <x:c r="P23" s="14" t="n">
        <x:v>204</x:v>
      </x:c>
      <x:c r="Q23" s="14" t="str">
        <x:v>ARCS-25012-ARC-SPC-09900 Rev 2 | 0453 – 2.1 GENERAL / Samples | PDF p.204</x:v>
      </x:c>
      <x:c r="R23" s="14" t="str">
        <x:v>Requirement: Provide 2 samples as follows:</x:v>
      </x:c>
      <x:c r="S23" s="14" t="str"/>
      <x:c r="T23" s="14" t="str"/>
    </x:row>
    <x:row r="24">
      <x:c r="A24" s="12" t="str">
        <x:v>SMP-023</x:v>
      </x:c>
      <x:c r="B24" s="12" t="str">
        <x:v>Architectural</x:v>
      </x:c>
      <x:c r="C24" s="12" t="str">
        <x:v>Doors &amp; access panels</x:v>
      </x:c>
      <x:c r="D24" s="14" t="str">
        <x:v>Doors/access panels – prepared surface finishes</x:v>
      </x:c>
      <x:c r="E24" s="14" t="str">
        <x:v>2 samples; include timber stains / veneers.</x:v>
      </x:c>
      <x:c r="F24" s="14" t="str">
        <x:v>Mandatory</x:v>
      </x:c>
      <x:c r="G24" s="14" t="str">
        <x:v>High</x:v>
      </x:c>
      <x:c r="H24" s="14" t="str"/>
      <x:c r="I24" s="16" t="str"/>
      <x:c r="J24" s="16" t="str"/>
      <x:c r="K24" s="14" t="str"/>
      <x:c r="L24" s="14" t="str">
        <x:v>Not Started</x:v>
      </x:c>
      <x:c r="M24" s="16" t="str"/>
      <x:c r="N24" s="14" t="str">
        <x:v>ARCS-25012-ARC-SPC-09900 Rev 2</x:v>
      </x:c>
      <x:c r="O24" s="14" t="str">
        <x:v>0453 – 2.1 GENERAL / Samples</x:v>
      </x:c>
      <x:c r="P24" s="14" t="n">
        <x:v>204</x:v>
      </x:c>
      <x:c r="Q24" s="14" t="str">
        <x:v>ARCS-25012-ARC-SPC-09900 Rev 2 | 0453 – 2.1 GENERAL / Samples | PDF p.204</x:v>
      </x:c>
      <x:c r="R24" s="14" t="str">
        <x:v>Requirement: Provide 2 samples as follows:</x:v>
      </x:c>
      <x:c r="S24" s="14" t="str"/>
      <x:c r="T24" s="14" t="str"/>
    </x:row>
    <x:row r="25">
      <x:c r="A25" s="12" t="str">
        <x:v>SMP-024</x:v>
      </x:c>
      <x:c r="B25" s="12" t="str">
        <x:v>Architectural</x:v>
      </x:c>
      <x:c r="C25" s="12" t="str">
        <x:v>Doors &amp; access panels</x:v>
      </x:c>
      <x:c r="D25" s="14" t="str">
        <x:v>Doors/access panels – proposed joints</x:v>
      </x:c>
      <x:c r="E25" s="14" t="str">
        <x:v>2 samples.</x:v>
      </x:c>
      <x:c r="F25" s="14" t="str">
        <x:v>Mandatory</x:v>
      </x:c>
      <x:c r="G25" s="14" t="str">
        <x:v>High</x:v>
      </x:c>
      <x:c r="H25" s="14" t="str"/>
      <x:c r="I25" s="16" t="str"/>
      <x:c r="J25" s="16" t="str"/>
      <x:c r="K25" s="14" t="str"/>
      <x:c r="L25" s="14" t="str">
        <x:v>Not Started</x:v>
      </x:c>
      <x:c r="M25" s="16" t="str"/>
      <x:c r="N25" s="14" t="str">
        <x:v>ARCS-25012-ARC-SPC-09900 Rev 2</x:v>
      </x:c>
      <x:c r="O25" s="14" t="str">
        <x:v>0453 – 2.1 GENERAL / Samples</x:v>
      </x:c>
      <x:c r="P25" s="14" t="n">
        <x:v>204</x:v>
      </x:c>
      <x:c r="Q25" s="14" t="str">
        <x:v>ARCS-25012-ARC-SPC-09900 Rev 2 | 0453 – 2.1 GENERAL / Samples | PDF p.204</x:v>
      </x:c>
      <x:c r="R25" s="14" t="str">
        <x:v>Requirement: Provide 2 samples as follows:</x:v>
      </x:c>
      <x:c r="S25" s="14" t="str"/>
      <x:c r="T25" s="14" t="str"/>
    </x:row>
    <x:row r="26">
      <x:c r="A26" s="12" t="str">
        <x:v>SMP-025</x:v>
      </x:c>
      <x:c r="B26" s="12" t="str">
        <x:v>Architectural</x:v>
      </x:c>
      <x:c r="C26" s="12" t="str">
        <x:v>Doors &amp; access panels</x:v>
      </x:c>
      <x:c r="D26" s="14" t="str">
        <x:v>Doors/access panels – standard hardware</x:v>
      </x:c>
      <x:c r="E26" s="14" t="str">
        <x:v>2 samples.</x:v>
      </x:c>
      <x:c r="F26" s="14" t="str">
        <x:v>Mandatory</x:v>
      </x:c>
      <x:c r="G26" s="14" t="str">
        <x:v>High</x:v>
      </x:c>
      <x:c r="H26" s="14" t="str"/>
      <x:c r="I26" s="16" t="str"/>
      <x:c r="J26" s="16" t="str"/>
      <x:c r="K26" s="14" t="str"/>
      <x:c r="L26" s="14" t="str">
        <x:v>Not Started</x:v>
      </x:c>
      <x:c r="M26" s="16" t="str"/>
      <x:c r="N26" s="14" t="str">
        <x:v>ARCS-25012-ARC-SPC-09900 Rev 2</x:v>
      </x:c>
      <x:c r="O26" s="14" t="str">
        <x:v>0453 – 2.1 GENERAL / Samples</x:v>
      </x:c>
      <x:c r="P26" s="14" t="n">
        <x:v>204</x:v>
      </x:c>
      <x:c r="Q26" s="14" t="str">
        <x:v>ARCS-25012-ARC-SPC-09900 Rev 2 | 0453 – 2.1 GENERAL / Samples | PDF p.204</x:v>
      </x:c>
      <x:c r="R26" s="14" t="str">
        <x:v>Requirement: Provide 2 samples as follows:</x:v>
      </x:c>
      <x:c r="S26" s="14" t="str"/>
      <x:c r="T26" s="14" t="str"/>
    </x:row>
    <x:row r="27">
      <x:c r="A27" s="12" t="str">
        <x:v>SMP-026</x:v>
      </x:c>
      <x:c r="B27" s="12" t="str">
        <x:v>Architectural</x:v>
      </x:c>
      <x:c r="C27" s="12" t="str">
        <x:v>External waterproofing</x:v>
      </x:c>
      <x:c r="D27" s="14" t="str">
        <x:v>External / tanking membranes</x:v>
      </x:c>
      <x:c r="E27" s="14" t="str">
        <x:v>300 x 300 mm sample of EACH membrane type including visible surface finish.</x:v>
      </x:c>
      <x:c r="F27" s="14" t="str">
        <x:v>Mandatory</x:v>
      </x:c>
      <x:c r="G27" s="14" t="str">
        <x:v>High</x:v>
      </x:c>
      <x:c r="H27" s="14" t="str"/>
      <x:c r="I27" s="16" t="str"/>
      <x:c r="J27" s="16" t="str"/>
      <x:c r="K27" s="14" t="str"/>
      <x:c r="L27" s="14" t="str">
        <x:v>Not Started</x:v>
      </x:c>
      <x:c r="M27" s="16" t="str"/>
      <x:c r="N27" s="14" t="str">
        <x:v>ARCS-25012-ARC-SPC-09900 Rev 2</x:v>
      </x:c>
      <x:c r="O27" s="14" t="str">
        <x:v>0411 – 2.1 GENERAL / Samples</x:v>
      </x:c>
      <x:c r="P27" s="14" t="n">
        <x:v>149</x:v>
      </x:c>
      <x:c r="Q27" s="14" t="str">
        <x:v>ARCS-25012-ARC-SPC-09900 Rev 2 | 0411 – 2.1 GENERAL / Samples | PDF p.149</x:v>
      </x:c>
      <x:c r="R27" s="14" t="str">
        <x:v>Provide 300 x 300 mm samples of each type of membrane including the finish of the visible surface.</x:v>
      </x:c>
      <x:c r="S27" s="14" t="str"/>
      <x:c r="T27" s="14" t="str"/>
    </x:row>
    <x:row r="28">
      <x:c r="A28" s="12" t="str">
        <x:v>SMP-027</x:v>
      </x:c>
      <x:c r="B28" s="12" t="str">
        <x:v>Architectural</x:v>
      </x:c>
      <x:c r="C28" s="12" t="str">
        <x:v>Fabricated metalwork</x:v>
      </x:c>
      <x:c r="D28" s="14" t="str">
        <x:v>Fabricated metalwork finish</x:v>
      </x:c>
      <x:c r="E28" s="14" t="str">
        <x:v>Each type; show range of variation.</x:v>
      </x:c>
      <x:c r="F28" s="14" t="str">
        <x:v>Mandatory</x:v>
      </x:c>
      <x:c r="G28" s="14" t="str">
        <x:v>High</x:v>
      </x:c>
      <x:c r="H28" s="14" t="str"/>
      <x:c r="I28" s="16" t="str"/>
      <x:c r="J28" s="16" t="str"/>
      <x:c r="K28" s="14" t="str"/>
      <x:c r="L28" s="14" t="str">
        <x:v>Not Started</x:v>
      </x:c>
      <x:c r="M28" s="16" t="str"/>
      <x:c r="N28" s="14" t="str">
        <x:v>ARCS-25012-ARC-SPC-09900 Rev 2</x:v>
      </x:c>
      <x:c r="O28" s="14" t="str">
        <x:v>0552 – 2.1 GENERAL / Samples</x:v>
      </x:c>
      <x:c r="P28" s="14" t="n">
        <x:v>50</x:v>
      </x:c>
      <x:c r="Q28" s="14" t="str">
        <x:v>ARCS-25012-ARC-SPC-09900 Rev 2 | 0552 – 2.1 GENERAL / Samples | PDF p.50</x:v>
      </x:c>
      <x:c r="R28" s="14" t="str">
        <x:v>Requirement: Provide samples of the following:</x:v>
      </x:c>
      <x:c r="S28" s="14" t="str"/>
      <x:c r="T28" s="14" t="str"/>
    </x:row>
    <x:row r="29">
      <x:c r="A29" s="12" t="str">
        <x:v>SMP-028</x:v>
      </x:c>
      <x:c r="B29" s="12" t="str">
        <x:v>Architectural</x:v>
      </x:c>
      <x:c r="C29" s="12" t="str">
        <x:v>Fabricated metalwork</x:v>
      </x:c>
      <x:c r="D29" s="14" t="str">
        <x:v>Fabricated metalwork joint</x:v>
      </x:c>
      <x:c r="E29" s="14" t="str">
        <x:v>Each type.</x:v>
      </x:c>
      <x:c r="F29" s="14" t="str">
        <x:v>Mandatory</x:v>
      </x:c>
      <x:c r="G29" s="14" t="str">
        <x:v>High</x:v>
      </x:c>
      <x:c r="H29" s="14" t="str"/>
      <x:c r="I29" s="16" t="str"/>
      <x:c r="J29" s="16" t="str"/>
      <x:c r="K29" s="14" t="str"/>
      <x:c r="L29" s="14" t="str">
        <x:v>Not Started</x:v>
      </x:c>
      <x:c r="M29" s="16" t="str"/>
      <x:c r="N29" s="14" t="str">
        <x:v>ARCS-25012-ARC-SPC-09900 Rev 2</x:v>
      </x:c>
      <x:c r="O29" s="14" t="str">
        <x:v>0552 – 2.1 GENERAL / Samples</x:v>
      </x:c>
      <x:c r="P29" s="14" t="n">
        <x:v>50</x:v>
      </x:c>
      <x:c r="Q29" s="14" t="str">
        <x:v>ARCS-25012-ARC-SPC-09900 Rev 2 | 0552 – 2.1 GENERAL / Samples | PDF p.50</x:v>
      </x:c>
      <x:c r="R29" s="14" t="str">
        <x:v>Requirement: Provide samples of the following:</x:v>
      </x:c>
      <x:c r="S29" s="14" t="str"/>
      <x:c r="T29" s="14" t="str"/>
    </x:row>
    <x:row r="30">
      <x:c r="A30" s="12" t="str">
        <x:v>SMP-029</x:v>
      </x:c>
      <x:c r="B30" s="12" t="str">
        <x:v>Architectural</x:v>
      </x:c>
      <x:c r="C30" s="12" t="str">
        <x:v>Fabricated metalwork</x:v>
      </x:c>
      <x:c r="D30" s="14" t="str">
        <x:v>Fabricated metalwork section</x:v>
      </x:c>
      <x:c r="E30" s="14" t="str">
        <x:v>Sections proposed for fabricated work.</x:v>
      </x:c>
      <x:c r="F30" s="14" t="str">
        <x:v>Mandatory</x:v>
      </x:c>
      <x:c r="G30" s="14" t="str">
        <x:v>High</x:v>
      </x:c>
      <x:c r="H30" s="14" t="str"/>
      <x:c r="I30" s="16" t="str"/>
      <x:c r="J30" s="16" t="str"/>
      <x:c r="K30" s="14" t="str"/>
      <x:c r="L30" s="14" t="str">
        <x:v>Not Started</x:v>
      </x:c>
      <x:c r="M30" s="16" t="str"/>
      <x:c r="N30" s="14" t="str">
        <x:v>ARCS-25012-ARC-SPC-09900 Rev 2</x:v>
      </x:c>
      <x:c r="O30" s="14" t="str">
        <x:v>0552 – 2.1 GENERAL / Samples</x:v>
      </x:c>
      <x:c r="P30" s="14" t="n">
        <x:v>50</x:v>
      </x:c>
      <x:c r="Q30" s="14" t="str">
        <x:v>ARCS-25012-ARC-SPC-09900 Rev 2 | 0552 – 2.1 GENERAL / Samples | PDF p.50</x:v>
      </x:c>
      <x:c r="R30" s="14" t="str">
        <x:v>Requirement: Provide samples of the following:</x:v>
      </x:c>
      <x:c r="S30" s="14" t="str"/>
      <x:c r="T30" s="14" t="str"/>
    </x:row>
    <x:row r="31">
      <x:c r="A31" s="12" t="str">
        <x:v>SMP-030</x:v>
      </x:c>
      <x:c r="B31" s="12" t="str">
        <x:v>Architectural</x:v>
      </x:c>
      <x:c r="C31" s="12" t="str">
        <x:v>Fire-stopping</x:v>
      </x:c>
      <x:c r="D31" s="14" t="str">
        <x:v>Fire-stopping assembly control panels</x:v>
      </x:c>
      <x:c r="E31" s="14" t="str">
        <x:v>One panel for EACH assembly on representative substrate; 500 mm run for junction seals and 500 x 500 mm for penetration seals. Mark built-in sample as control sample.</x:v>
      </x:c>
      <x:c r="F31" s="14" t="str">
        <x:v>Mandatory</x:v>
      </x:c>
      <x:c r="G31" s="14" t="str">
        <x:v>High</x:v>
      </x:c>
      <x:c r="H31" s="14" t="str"/>
      <x:c r="I31" s="16" t="str"/>
      <x:c r="J31" s="16" t="str"/>
      <x:c r="K31" s="14" t="str"/>
      <x:c r="L31" s="14" t="str">
        <x:v>Not Started</x:v>
      </x:c>
      <x:c r="M31" s="16" t="str"/>
      <x:c r="N31" s="14" t="str">
        <x:v>ARCS-25012-ARC-SPC-09900 Rev 2</x:v>
      </x:c>
      <x:c r="O31" s="14" t="str">
        <x:v>0182 – 2.1 GENERAL / Samples</x:v>
      </x:c>
      <x:c r="P31" s="14" t="n">
        <x:v>46</x:v>
      </x:c>
      <x:c r="Q31" s="14" t="str">
        <x:v>ARCS-25012-ARC-SPC-09900 Rev 2 | 0182 – 2.1 GENERAL / Samples | PDF p.46</x:v>
      </x:c>
      <x:c r="R31" s="14" t="str">
        <x:v>Provide a sample panel of each fire-stopping assembly, on representative substrates.</x:v>
      </x:c>
      <x:c r="S31" s="14" t="str"/>
      <x:c r="T31" s="14" t="str"/>
    </x:row>
    <x:row r="32">
      <x:c r="A32" s="12" t="str">
        <x:v>SMP-031</x:v>
      </x:c>
      <x:c r="B32" s="12" t="str">
        <x:v>Architectural</x:v>
      </x:c>
      <x:c r="C32" s="12" t="str">
        <x:v>Furniture</x:v>
      </x:c>
      <x:c r="D32" s="14" t="str">
        <x:v>Furniture facing / prefinished colour</x:v>
      </x:c>
      <x:c r="E32" s="14" t="str">
        <x:v>2 each.</x:v>
      </x:c>
      <x:c r="F32" s="14" t="str">
        <x:v>Mandatory if applicable</x:v>
      </x:c>
      <x:c r="G32" s="14" t="str">
        <x:v>Normal</x:v>
      </x:c>
      <x:c r="H32" s="14" t="str"/>
      <x:c r="I32" s="16" t="str"/>
      <x:c r="J32" s="16" t="str"/>
      <x:c r="K32" s="14" t="str"/>
      <x:c r="L32" s="14" t="str">
        <x:v>Not Started</x:v>
      </x:c>
      <x:c r="M32" s="16" t="str"/>
      <x:c r="N32" s="14" t="str">
        <x:v>ARCS-25012-ARC-SPC-09900 Rev 2</x:v>
      </x:c>
      <x:c r="O32" s="14" t="str">
        <x:v>0572 – 2.1 GENERAL / Samples</x:v>
      </x:c>
      <x:c r="P32" s="14" t="n">
        <x:v>329</x:v>
      </x:c>
      <x:c r="Q32" s="14" t="str">
        <x:v>ARCS-25012-ARC-SPC-09900 Rev 2 | 0572 – 2.1 GENERAL / Samples | PDF p.329</x:v>
      </x:c>
      <x:c r="R32" s="14" t="str">
        <x:v>Requirement: Provide two samples of each of the following, if applicable:</x:v>
      </x:c>
      <x:c r="S32" s="14" t="str"/>
      <x:c r="T32" s="14" t="str"/>
    </x:row>
    <x:row r="33">
      <x:c r="A33" s="12" t="str">
        <x:v>SMP-032</x:v>
      </x:c>
      <x:c r="B33" s="12" t="str">
        <x:v>Architectural</x:v>
      </x:c>
      <x:c r="C33" s="12" t="str">
        <x:v>Furniture</x:v>
      </x:c>
      <x:c r="D33" s="14" t="str">
        <x:v>Furniture frame sections</x:v>
      </x:c>
      <x:c r="E33" s="14" t="str">
        <x:v>2 each if applicable.</x:v>
      </x:c>
      <x:c r="F33" s="14" t="str">
        <x:v>Mandatory if applicable</x:v>
      </x:c>
      <x:c r="G33" s="14" t="str">
        <x:v>Normal</x:v>
      </x:c>
      <x:c r="H33" s="14" t="str"/>
      <x:c r="I33" s="16" t="str"/>
      <x:c r="J33" s="16" t="str"/>
      <x:c r="K33" s="14" t="str"/>
      <x:c r="L33" s="14" t="str">
        <x:v>Not Started</x:v>
      </x:c>
      <x:c r="M33" s="16" t="str"/>
      <x:c r="N33" s="14" t="str">
        <x:v>ARCS-25012-ARC-SPC-09900 Rev 2</x:v>
      </x:c>
      <x:c r="O33" s="14" t="str">
        <x:v>0572 – 2.1 GENERAL / Samples</x:v>
      </x:c>
      <x:c r="P33" s="14" t="n">
        <x:v>329</x:v>
      </x:c>
      <x:c r="Q33" s="14" t="str">
        <x:v>ARCS-25012-ARC-SPC-09900 Rev 2 | 0572 – 2.1 GENERAL / Samples | PDF p.329</x:v>
      </x:c>
      <x:c r="R33" s="14" t="str">
        <x:v>Requirement: Provide two samples of each of the following, if applicable:</x:v>
      </x:c>
      <x:c r="S33" s="14" t="str"/>
      <x:c r="T33" s="14" t="str"/>
    </x:row>
    <x:row r="34">
      <x:c r="A34" s="12" t="str">
        <x:v>SMP-033</x:v>
      </x:c>
      <x:c r="B34" s="12" t="str">
        <x:v>Architectural</x:v>
      </x:c>
      <x:c r="C34" s="12" t="str">
        <x:v>Furniture</x:v>
      </x:c>
      <x:c r="D34" s="14" t="str">
        <x:v>Furniture prepared surface finishes</x:v>
      </x:c>
      <x:c r="E34" s="14" t="str">
        <x:v>2 each with edge strips / trim.</x:v>
      </x:c>
      <x:c r="F34" s="14" t="str">
        <x:v>Mandatory if applicable</x:v>
      </x:c>
      <x:c r="G34" s="14" t="str">
        <x:v>Normal</x:v>
      </x:c>
      <x:c r="H34" s="14" t="str"/>
      <x:c r="I34" s="16" t="str"/>
      <x:c r="J34" s="16" t="str"/>
      <x:c r="K34" s="14" t="str"/>
      <x:c r="L34" s="14" t="str">
        <x:v>Not Started</x:v>
      </x:c>
      <x:c r="M34" s="16" t="str"/>
      <x:c r="N34" s="14" t="str">
        <x:v>ARCS-25012-ARC-SPC-09900 Rev 2</x:v>
      </x:c>
      <x:c r="O34" s="14" t="str">
        <x:v>0572 – 2.1 GENERAL / Samples</x:v>
      </x:c>
      <x:c r="P34" s="14" t="n">
        <x:v>329</x:v>
      </x:c>
      <x:c r="Q34" s="14" t="str">
        <x:v>ARCS-25012-ARC-SPC-09900 Rev 2 | 0572 – 2.1 GENERAL / Samples | PDF p.329</x:v>
      </x:c>
      <x:c r="R34" s="14" t="str">
        <x:v>Requirement: Provide two samples of each of the following, if applicable:</x:v>
      </x:c>
      <x:c r="S34" s="14" t="str"/>
      <x:c r="T34" s="14" t="str"/>
    </x:row>
    <x:row r="35">
      <x:c r="A35" s="12" t="str">
        <x:v>SMP-034</x:v>
      </x:c>
      <x:c r="B35" s="12" t="str">
        <x:v>Architectural</x:v>
      </x:c>
      <x:c r="C35" s="12" t="str">
        <x:v>Furniture</x:v>
      </x:c>
      <x:c r="D35" s="14" t="str">
        <x:v>Furniture proposed joints</x:v>
      </x:c>
      <x:c r="E35" s="14" t="str">
        <x:v>2 each if applicable.</x:v>
      </x:c>
      <x:c r="F35" s="14" t="str">
        <x:v>Mandatory if applicable</x:v>
      </x:c>
      <x:c r="G35" s="14" t="str">
        <x:v>Normal</x:v>
      </x:c>
      <x:c r="H35" s="14" t="str"/>
      <x:c r="I35" s="16" t="str"/>
      <x:c r="J35" s="16" t="str"/>
      <x:c r="K35" s="14" t="str"/>
      <x:c r="L35" s="14" t="str">
        <x:v>Not Started</x:v>
      </x:c>
      <x:c r="M35" s="16" t="str"/>
      <x:c r="N35" s="14" t="str">
        <x:v>ARCS-25012-ARC-SPC-09900 Rev 2</x:v>
      </x:c>
      <x:c r="O35" s="14" t="str">
        <x:v>0572 – 2.1 GENERAL / Samples</x:v>
      </x:c>
      <x:c r="P35" s="14" t="n">
        <x:v>329</x:v>
      </x:c>
      <x:c r="Q35" s="14" t="str">
        <x:v>ARCS-25012-ARC-SPC-09900 Rev 2 | 0572 – 2.1 GENERAL / Samples | PDF p.329</x:v>
      </x:c>
      <x:c r="R35" s="14" t="str">
        <x:v>Requirement: Provide two samples of each of the following, if applicable:</x:v>
      </x:c>
      <x:c r="S35" s="14" t="str"/>
      <x:c r="T35" s="14" t="str"/>
    </x:row>
    <x:row r="36">
      <x:c r="A36" s="12" t="str">
        <x:v>SMP-035</x:v>
      </x:c>
      <x:c r="B36" s="12" t="str">
        <x:v>Architectural</x:v>
      </x:c>
      <x:c r="C36" s="12" t="str">
        <x:v>Glass components</x:v>
      </x:c>
      <x:c r="D36" s="14" t="str">
        <x:v>Glass component – ceramic-coated</x:v>
      </x:c>
      <x:c r="E36" s="14" t="str">
        <x:v>At least 200 x 200 mm.</x:v>
      </x:c>
      <x:c r="F36" s="14" t="str">
        <x:v>Mandatory where documented</x:v>
      </x:c>
      <x:c r="G36" s="14" t="str">
        <x:v>High</x:v>
      </x:c>
      <x:c r="H36" s="14" t="str"/>
      <x:c r="I36" s="16" t="str"/>
      <x:c r="J36" s="16" t="str"/>
      <x:c r="K36" s="14" t="str"/>
      <x:c r="L36" s="14" t="str">
        <x:v>Not Started</x:v>
      </x:c>
      <x:c r="M36" s="16" t="str"/>
      <x:c r="N36" s="14" t="str">
        <x:v>ARCS-25012-ARC-SPC-09900 Rev 2</x:v>
      </x:c>
      <x:c r="O36" s="14" t="str">
        <x:v>0467 – 2.1 GENERAL / Samples</x:v>
      </x:c>
      <x:c r="P36" s="14" t="n">
        <x:v>240</x:v>
      </x:c>
      <x:c r="Q36" s="14" t="str">
        <x:v>ARCS-25012-ARC-SPC-09900 Rev 2 | 0467 – 2.1 GENERAL / Samples | PDF p.240</x:v>
      </x:c>
      <x:c r="R36" s="14" t="str">
        <x:v>Requirement: Provide samples, each at least 200 x 200 mm, showing specified visual properties</x:v>
      </x:c>
      <x:c r="S36" s="14" t="str"/>
      <x:c r="T36" s="14" t="str"/>
    </x:row>
    <x:row r="37">
      <x:c r="A37" s="12" t="str">
        <x:v>SMP-036</x:v>
      </x:c>
      <x:c r="B37" s="12" t="str">
        <x:v>Architectural</x:v>
      </x:c>
      <x:c r="C37" s="12" t="str">
        <x:v>Glass components</x:v>
      </x:c>
      <x:c r="D37" s="14" t="str">
        <x:v>Glass component – coloured</x:v>
      </x:c>
      <x:c r="E37" s="14" t="str">
        <x:v>At least 200 x 200 mm.</x:v>
      </x:c>
      <x:c r="F37" s="14" t="str">
        <x:v>Mandatory where documented</x:v>
      </x:c>
      <x:c r="G37" s="14" t="str">
        <x:v>High</x:v>
      </x:c>
      <x:c r="H37" s="14" t="str"/>
      <x:c r="I37" s="16" t="str"/>
      <x:c r="J37" s="16" t="str"/>
      <x:c r="K37" s="14" t="str"/>
      <x:c r="L37" s="14" t="str">
        <x:v>Not Started</x:v>
      </x:c>
      <x:c r="M37" s="16" t="str"/>
      <x:c r="N37" s="14" t="str">
        <x:v>ARCS-25012-ARC-SPC-09900 Rev 2</x:v>
      </x:c>
      <x:c r="O37" s="14" t="str">
        <x:v>0467 – 2.1 GENERAL / Samples</x:v>
      </x:c>
      <x:c r="P37" s="14" t="n">
        <x:v>240</x:v>
      </x:c>
      <x:c r="Q37" s="14" t="str">
        <x:v>ARCS-25012-ARC-SPC-09900 Rev 2 | 0467 – 2.1 GENERAL / Samples | PDF p.240</x:v>
      </x:c>
      <x:c r="R37" s="14" t="str">
        <x:v>Requirement: Provide samples, each at least 200 x 200 mm, showing specified visual properties</x:v>
      </x:c>
      <x:c r="S37" s="14" t="str"/>
      <x:c r="T37" s="14" t="str"/>
    </x:row>
    <x:row r="38">
      <x:c r="A38" s="12" t="str">
        <x:v>SMP-037</x:v>
      </x:c>
      <x:c r="B38" s="12" t="str">
        <x:v>Architectural</x:v>
      </x:c>
      <x:c r="C38" s="12" t="str">
        <x:v>Glass components</x:v>
      </x:c>
      <x:c r="D38" s="14" t="str">
        <x:v>Glass component – mirror</x:v>
      </x:c>
      <x:c r="E38" s="14" t="str">
        <x:v>At least 200 x 200 mm.</x:v>
      </x:c>
      <x:c r="F38" s="14" t="str">
        <x:v>Mandatory where documented</x:v>
      </x:c>
      <x:c r="G38" s="14" t="str">
        <x:v>High</x:v>
      </x:c>
      <x:c r="H38" s="14" t="str"/>
      <x:c r="I38" s="16" t="str"/>
      <x:c r="J38" s="16" t="str"/>
      <x:c r="K38" s="14" t="str"/>
      <x:c r="L38" s="14" t="str">
        <x:v>Not Started</x:v>
      </x:c>
      <x:c r="M38" s="16" t="str"/>
      <x:c r="N38" s="14" t="str">
        <x:v>ARCS-25012-ARC-SPC-09900 Rev 2</x:v>
      </x:c>
      <x:c r="O38" s="14" t="str">
        <x:v>0467 – 2.1 GENERAL / Samples</x:v>
      </x:c>
      <x:c r="P38" s="14" t="n">
        <x:v>240</x:v>
      </x:c>
      <x:c r="Q38" s="14" t="str">
        <x:v>ARCS-25012-ARC-SPC-09900 Rev 2 | 0467 – 2.1 GENERAL / Samples | PDF p.240</x:v>
      </x:c>
      <x:c r="R38" s="14" t="str">
        <x:v>Requirement: Provide samples, each at least 200 x 200 mm, showing specified visual properties</x:v>
      </x:c>
      <x:c r="S38" s="14" t="str"/>
      <x:c r="T38" s="14" t="str"/>
    </x:row>
    <x:row r="39">
      <x:c r="A39" s="12" t="str">
        <x:v>SMP-038</x:v>
      </x:c>
      <x:c r="B39" s="12" t="str">
        <x:v>Architectural</x:v>
      </x:c>
      <x:c r="C39" s="12" t="str">
        <x:v>Glass components</x:v>
      </x:c>
      <x:c r="D39" s="14" t="str">
        <x:v>Glass component – patterned / obscured</x:v>
      </x:c>
      <x:c r="E39" s="14" t="str">
        <x:v>At least 200 x 200 mm.</x:v>
      </x:c>
      <x:c r="F39" s="14" t="str">
        <x:v>Mandatory where documented</x:v>
      </x:c>
      <x:c r="G39" s="14" t="str">
        <x:v>High</x:v>
      </x:c>
      <x:c r="H39" s="14" t="str"/>
      <x:c r="I39" s="16" t="str"/>
      <x:c r="J39" s="16" t="str"/>
      <x:c r="K39" s="14" t="str"/>
      <x:c r="L39" s="14" t="str">
        <x:v>Not Started</x:v>
      </x:c>
      <x:c r="M39" s="16" t="str"/>
      <x:c r="N39" s="14" t="str">
        <x:v>ARCS-25012-ARC-SPC-09900 Rev 2</x:v>
      </x:c>
      <x:c r="O39" s="14" t="str">
        <x:v>0467 – 2.1 GENERAL / Samples</x:v>
      </x:c>
      <x:c r="P39" s="14" t="n">
        <x:v>240</x:v>
      </x:c>
      <x:c r="Q39" s="14" t="str">
        <x:v>ARCS-25012-ARC-SPC-09900 Rev 2 | 0467 – 2.1 GENERAL / Samples | PDF p.240</x:v>
      </x:c>
      <x:c r="R39" s="14" t="str">
        <x:v>Requirement: Provide samples, each at least 200 x 200 mm, showing specified visual properties</x:v>
      </x:c>
      <x:c r="S39" s="14" t="str"/>
      <x:c r="T39" s="14" t="str"/>
    </x:row>
    <x:row r="40">
      <x:c r="A40" s="12" t="str">
        <x:v>SMP-039</x:v>
      </x:c>
      <x:c r="B40" s="12" t="str">
        <x:v>Architectural</x:v>
      </x:c>
      <x:c r="C40" s="12" t="str">
        <x:v>Glass components</x:v>
      </x:c>
      <x:c r="D40" s="14" t="str">
        <x:v>Glass component – tinted</x:v>
      </x:c>
      <x:c r="E40" s="14" t="str">
        <x:v>At least 200 x 200 mm.</x:v>
      </x:c>
      <x:c r="F40" s="14" t="str">
        <x:v>Mandatory where documented</x:v>
      </x:c>
      <x:c r="G40" s="14" t="str">
        <x:v>High</x:v>
      </x:c>
      <x:c r="H40" s="14" t="str"/>
      <x:c r="I40" s="16" t="str"/>
      <x:c r="J40" s="16" t="str"/>
      <x:c r="K40" s="14" t="str"/>
      <x:c r="L40" s="14" t="str">
        <x:v>Not Started</x:v>
      </x:c>
      <x:c r="M40" s="16" t="str"/>
      <x:c r="N40" s="14" t="str">
        <x:v>ARCS-25012-ARC-SPC-09900 Rev 2</x:v>
      </x:c>
      <x:c r="O40" s="14" t="str">
        <x:v>0467 – 2.1 GENERAL / Samples</x:v>
      </x:c>
      <x:c r="P40" s="14" t="n">
        <x:v>240</x:v>
      </x:c>
      <x:c r="Q40" s="14" t="str">
        <x:v>ARCS-25012-ARC-SPC-09900 Rev 2 | 0467 – 2.1 GENERAL / Samples | PDF p.240</x:v>
      </x:c>
      <x:c r="R40" s="14" t="str">
        <x:v>Requirement: Provide samples, each at least 200 x 200 mm, showing specified visual properties</x:v>
      </x:c>
      <x:c r="S40" s="14" t="str"/>
      <x:c r="T40" s="14" t="str"/>
    </x:row>
    <x:row r="41">
      <x:c r="A41" s="12" t="str">
        <x:v>SMP-040</x:v>
      </x:c>
      <x:c r="B41" s="12" t="str">
        <x:v>Architectural</x:v>
      </x:c>
      <x:c r="C41" s="12" t="str">
        <x:v>Glass components</x:v>
      </x:c>
      <x:c r="D41" s="14" t="str">
        <x:v>Glass component – wired</x:v>
      </x:c>
      <x:c r="E41" s="14" t="str">
        <x:v>At least 200 x 200 mm.</x:v>
      </x:c>
      <x:c r="F41" s="14" t="str">
        <x:v>Mandatory where documented</x:v>
      </x:c>
      <x:c r="G41" s="14" t="str">
        <x:v>High</x:v>
      </x:c>
      <x:c r="H41" s="14" t="str"/>
      <x:c r="I41" s="16" t="str"/>
      <x:c r="J41" s="16" t="str"/>
      <x:c r="K41" s="14" t="str"/>
      <x:c r="L41" s="14" t="str">
        <x:v>Not Started</x:v>
      </x:c>
      <x:c r="M41" s="16" t="str"/>
      <x:c r="N41" s="14" t="str">
        <x:v>ARCS-25012-ARC-SPC-09900 Rev 2</x:v>
      </x:c>
      <x:c r="O41" s="14" t="str">
        <x:v>0467 – 2.1 GENERAL / Samples</x:v>
      </x:c>
      <x:c r="P41" s="14" t="n">
        <x:v>240</x:v>
      </x:c>
      <x:c r="Q41" s="14" t="str">
        <x:v>ARCS-25012-ARC-SPC-09900 Rev 2 | 0467 – 2.1 GENERAL / Samples | PDF p.240</x:v>
      </x:c>
      <x:c r="R41" s="14" t="str">
        <x:v>Requirement: Provide samples, each at least 200 x 200 mm, showing specified visual properties</x:v>
      </x:c>
      <x:c r="S41" s="14" t="str"/>
      <x:c r="T41" s="14" t="str"/>
    </x:row>
    <x:row r="42">
      <x:c r="A42" s="12" t="str">
        <x:v>SMP-041</x:v>
      </x:c>
      <x:c r="B42" s="12" t="str">
        <x:v>Architectural</x:v>
      </x:c>
      <x:c r="C42" s="12" t="str">
        <x:v>Glazing</x:v>
      </x:c>
      <x:c r="D42" s="14" t="str">
        <x:v>Ceramic-coated glazing</x:v>
      </x:c>
      <x:c r="E42" s="14" t="str">
        <x:v>At least 200 x 200 mm.</x:v>
      </x:c>
      <x:c r="F42" s="14" t="str">
        <x:v>Mandatory where documented</x:v>
      </x:c>
      <x:c r="G42" s="14" t="str">
        <x:v>High</x:v>
      </x:c>
      <x:c r="H42" s="14" t="str"/>
      <x:c r="I42" s="16" t="str"/>
      <x:c r="J42" s="16" t="str"/>
      <x:c r="K42" s="14" t="str"/>
      <x:c r="L42" s="14" t="str">
        <x:v>Not Started</x:v>
      </x:c>
      <x:c r="M42" s="16" t="str"/>
      <x:c r="N42" s="14" t="str">
        <x:v>ARCS-25012-ARC-SPC-09900 Rev 2</x:v>
      </x:c>
      <x:c r="O42" s="14" t="str">
        <x:v>0461 – 2.1 GENERAL / Samples</x:v>
      </x:c>
      <x:c r="P42" s="14" t="n">
        <x:v>189</x:v>
      </x:c>
      <x:c r="Q42" s="14" t="str">
        <x:v>ARCS-25012-ARC-SPC-09900 Rev 2 | 0461 – 2.1 GENERAL / Samples | PDF p.189</x:v>
      </x:c>
      <x:c r="R42" s="14" t="str">
        <x:v>Provide samples of glazing materials, each at least 200 x 200 mm</x:v>
      </x:c>
      <x:c r="S42" s="14" t="str"/>
      <x:c r="T42" s="14" t="str"/>
    </x:row>
    <x:row r="43">
      <x:c r="A43" s="12" t="str">
        <x:v>SMP-042</x:v>
      </x:c>
      <x:c r="B43" s="12" t="str">
        <x:v>Architectural</x:v>
      </x:c>
      <x:c r="C43" s="12" t="str">
        <x:v>Glazing</x:v>
      </x:c>
      <x:c r="D43" s="14" t="str">
        <x:v>Insulating glass units</x:v>
      </x:c>
      <x:c r="E43" s="14" t="str">
        <x:v>At least 200 x 200 mm.</x:v>
      </x:c>
      <x:c r="F43" s="14" t="str">
        <x:v>Mandatory where documented</x:v>
      </x:c>
      <x:c r="G43" s="14" t="str">
        <x:v>High</x:v>
      </x:c>
      <x:c r="H43" s="14" t="str"/>
      <x:c r="I43" s="16" t="str"/>
      <x:c r="J43" s="16" t="str"/>
      <x:c r="K43" s="14" t="str"/>
      <x:c r="L43" s="14" t="str">
        <x:v>Not Started</x:v>
      </x:c>
      <x:c r="M43" s="16" t="str"/>
      <x:c r="N43" s="14" t="str">
        <x:v>ARCS-25012-ARC-SPC-09900 Rev 2</x:v>
      </x:c>
      <x:c r="O43" s="14" t="str">
        <x:v>0461 – 2.1 GENERAL / Samples</x:v>
      </x:c>
      <x:c r="P43" s="14" t="n">
        <x:v>189</x:v>
      </x:c>
      <x:c r="Q43" s="14" t="str">
        <x:v>ARCS-25012-ARC-SPC-09900 Rev 2 | 0461 – 2.1 GENERAL / Samples | PDF p.189</x:v>
      </x:c>
      <x:c r="R43" s="14" t="str">
        <x:v>Provide samples of glazing materials, each at least 200 x 200 mm</x:v>
      </x:c>
      <x:c r="S43" s="14" t="str"/>
      <x:c r="T43" s="14" t="str"/>
    </x:row>
    <x:row r="44">
      <x:c r="A44" s="12" t="str">
        <x:v>SMP-043</x:v>
      </x:c>
      <x:c r="B44" s="12" t="str">
        <x:v>Architectural</x:v>
      </x:c>
      <x:c r="C44" s="12" t="str">
        <x:v>Glazing</x:v>
      </x:c>
      <x:c r="D44" s="14" t="str">
        <x:v>Mirror glass</x:v>
      </x:c>
      <x:c r="E44" s="14" t="str">
        <x:v>At least 200 x 200 mm.</x:v>
      </x:c>
      <x:c r="F44" s="14" t="str">
        <x:v>Mandatory where documented</x:v>
      </x:c>
      <x:c r="G44" s="14" t="str">
        <x:v>High</x:v>
      </x:c>
      <x:c r="H44" s="14" t="str"/>
      <x:c r="I44" s="16" t="str"/>
      <x:c r="J44" s="16" t="str"/>
      <x:c r="K44" s="14" t="str"/>
      <x:c r="L44" s="14" t="str">
        <x:v>Not Started</x:v>
      </x:c>
      <x:c r="M44" s="16" t="str"/>
      <x:c r="N44" s="14" t="str">
        <x:v>ARCS-25012-ARC-SPC-09900 Rev 2</x:v>
      </x:c>
      <x:c r="O44" s="14" t="str">
        <x:v>0461 – 2.1 GENERAL / Samples</x:v>
      </x:c>
      <x:c r="P44" s="14" t="n">
        <x:v>189</x:v>
      </x:c>
      <x:c r="Q44" s="14" t="str">
        <x:v>ARCS-25012-ARC-SPC-09900 Rev 2 | 0461 – 2.1 GENERAL / Samples | PDF p.189</x:v>
      </x:c>
      <x:c r="R44" s="14" t="str">
        <x:v>Provide samples of glazing materials, each at least 200 x 200 mm</x:v>
      </x:c>
      <x:c r="S44" s="14" t="str"/>
      <x:c r="T44" s="14" t="str"/>
    </x:row>
    <x:row r="45">
      <x:c r="A45" s="12" t="str">
        <x:v>SMP-044</x:v>
      </x:c>
      <x:c r="B45" s="12" t="str">
        <x:v>Architectural</x:v>
      </x:c>
      <x:c r="C45" s="12" t="str">
        <x:v>Glazing</x:v>
      </x:c>
      <x:c r="D45" s="14" t="str">
        <x:v>Patterned / obscured glazing</x:v>
      </x:c>
      <x:c r="E45" s="14" t="str">
        <x:v>At least 200 x 200 mm.</x:v>
      </x:c>
      <x:c r="F45" s="14" t="str">
        <x:v>Mandatory where documented</x:v>
      </x:c>
      <x:c r="G45" s="14" t="str">
        <x:v>High</x:v>
      </x:c>
      <x:c r="H45" s="14" t="str"/>
      <x:c r="I45" s="16" t="str"/>
      <x:c r="J45" s="16" t="str"/>
      <x:c r="K45" s="14" t="str"/>
      <x:c r="L45" s="14" t="str">
        <x:v>Not Started</x:v>
      </x:c>
      <x:c r="M45" s="16" t="str"/>
      <x:c r="N45" s="14" t="str">
        <x:v>ARCS-25012-ARC-SPC-09900 Rev 2</x:v>
      </x:c>
      <x:c r="O45" s="14" t="str">
        <x:v>0461 – 2.1 GENERAL / Samples</x:v>
      </x:c>
      <x:c r="P45" s="14" t="n">
        <x:v>189</x:v>
      </x:c>
      <x:c r="Q45" s="14" t="str">
        <x:v>ARCS-25012-ARC-SPC-09900 Rev 2 | 0461 – 2.1 GENERAL / Samples | PDF p.189</x:v>
      </x:c>
      <x:c r="R45" s="14" t="str">
        <x:v>Provide samples of glazing materials, each at least 200 x 200 mm</x:v>
      </x:c>
      <x:c r="S45" s="14" t="str"/>
      <x:c r="T45" s="14" t="str"/>
    </x:row>
    <x:row r="46">
      <x:c r="A46" s="12" t="str">
        <x:v>SMP-045</x:v>
      </x:c>
      <x:c r="B46" s="12" t="str">
        <x:v>Architectural</x:v>
      </x:c>
      <x:c r="C46" s="12" t="str">
        <x:v>Glazing</x:v>
      </x:c>
      <x:c r="D46" s="14" t="str">
        <x:v>Surface modified / coated glazing</x:v>
      </x:c>
      <x:c r="E46" s="14" t="str">
        <x:v>At least 200 x 200 mm.</x:v>
      </x:c>
      <x:c r="F46" s="14" t="str">
        <x:v>Mandatory where documented</x:v>
      </x:c>
      <x:c r="G46" s="14" t="str">
        <x:v>High</x:v>
      </x:c>
      <x:c r="H46" s="14" t="str"/>
      <x:c r="I46" s="16" t="str"/>
      <x:c r="J46" s="16" t="str"/>
      <x:c r="K46" s="14" t="str"/>
      <x:c r="L46" s="14" t="str">
        <x:v>Not Started</x:v>
      </x:c>
      <x:c r="M46" s="16" t="str"/>
      <x:c r="N46" s="14" t="str">
        <x:v>ARCS-25012-ARC-SPC-09900 Rev 2</x:v>
      </x:c>
      <x:c r="O46" s="14" t="str">
        <x:v>0461 – 2.1 GENERAL / Samples</x:v>
      </x:c>
      <x:c r="P46" s="14" t="n">
        <x:v>189</x:v>
      </x:c>
      <x:c r="Q46" s="14" t="str">
        <x:v>ARCS-25012-ARC-SPC-09900 Rev 2 | 0461 – 2.1 GENERAL / Samples | PDF p.189</x:v>
      </x:c>
      <x:c r="R46" s="14" t="str">
        <x:v>Provide samples of glazing materials, each at least 200 x 200 mm</x:v>
      </x:c>
      <x:c r="S46" s="14" t="str"/>
      <x:c r="T46" s="14" t="str"/>
    </x:row>
    <x:row r="47">
      <x:c r="A47" s="12" t="str">
        <x:v>SMP-046</x:v>
      </x:c>
      <x:c r="B47" s="12" t="str">
        <x:v>Architectural</x:v>
      </x:c>
      <x:c r="C47" s="12" t="str">
        <x:v>Glazing</x:v>
      </x:c>
      <x:c r="D47" s="14" t="str">
        <x:v>Tinted / coloured glazing</x:v>
      </x:c>
      <x:c r="E47" s="14" t="str">
        <x:v>At least 200 x 200 mm.</x:v>
      </x:c>
      <x:c r="F47" s="14" t="str">
        <x:v>Mandatory where documented</x:v>
      </x:c>
      <x:c r="G47" s="14" t="str">
        <x:v>High</x:v>
      </x:c>
      <x:c r="H47" s="14" t="str"/>
      <x:c r="I47" s="16" t="str"/>
      <x:c r="J47" s="16" t="str"/>
      <x:c r="K47" s="14" t="str"/>
      <x:c r="L47" s="14" t="str">
        <x:v>Not Started</x:v>
      </x:c>
      <x:c r="M47" s="16" t="str"/>
      <x:c r="N47" s="14" t="str">
        <x:v>ARCS-25012-ARC-SPC-09900 Rev 2</x:v>
      </x:c>
      <x:c r="O47" s="14" t="str">
        <x:v>0461 – 2.1 GENERAL / Samples</x:v>
      </x:c>
      <x:c r="P47" s="14" t="n">
        <x:v>189</x:v>
      </x:c>
      <x:c r="Q47" s="14" t="str">
        <x:v>ARCS-25012-ARC-SPC-09900 Rev 2 | 0461 – 2.1 GENERAL / Samples | PDF p.189</x:v>
      </x:c>
      <x:c r="R47" s="14" t="str">
        <x:v>Provide samples of glazing materials, each at least 200 x 200 mm</x:v>
      </x:c>
      <x:c r="S47" s="14" t="str"/>
      <x:c r="T47" s="14" t="str"/>
    </x:row>
    <x:row r="48">
      <x:c r="A48" s="12" t="str">
        <x:v>SMP-047</x:v>
      </x:c>
      <x:c r="B48" s="12" t="str">
        <x:v>Architectural</x:v>
      </x:c>
      <x:c r="C48" s="12" t="str">
        <x:v>Glazing</x:v>
      </x:c>
      <x:c r="D48" s="14" t="str">
        <x:v>Wired glazing</x:v>
      </x:c>
      <x:c r="E48" s="14" t="str">
        <x:v>At least 200 x 200 mm.</x:v>
      </x:c>
      <x:c r="F48" s="14" t="str">
        <x:v>Mandatory where documented</x:v>
      </x:c>
      <x:c r="G48" s="14" t="str">
        <x:v>High</x:v>
      </x:c>
      <x:c r="H48" s="14" t="str"/>
      <x:c r="I48" s="16" t="str"/>
      <x:c r="J48" s="16" t="str"/>
      <x:c r="K48" s="14" t="str"/>
      <x:c r="L48" s="14" t="str">
        <x:v>Not Started</x:v>
      </x:c>
      <x:c r="M48" s="16" t="str"/>
      <x:c r="N48" s="14" t="str">
        <x:v>ARCS-25012-ARC-SPC-09900 Rev 2</x:v>
      </x:c>
      <x:c r="O48" s="14" t="str">
        <x:v>0461 – 2.1 GENERAL / Samples</x:v>
      </x:c>
      <x:c r="P48" s="14" t="n">
        <x:v>189</x:v>
      </x:c>
      <x:c r="Q48" s="14" t="str">
        <x:v>ARCS-25012-ARC-SPC-09900 Rev 2 | 0461 – 2.1 GENERAL / Samples | PDF p.189</x:v>
      </x:c>
      <x:c r="R48" s="14" t="str">
        <x:v>Provide samples of glazing materials, each at least 200 x 200 mm</x:v>
      </x:c>
      <x:c r="S48" s="14" t="str"/>
      <x:c r="T48" s="14" t="str"/>
    </x:row>
    <x:row r="49">
      <x:c r="A49" s="12" t="str">
        <x:v>SMP-048</x:v>
      </x:c>
      <x:c r="B49" s="12" t="str">
        <x:v>Architectural</x:v>
      </x:c>
      <x:c r="C49" s="12" t="str">
        <x:v>Height safety</x:v>
      </x:c>
      <x:c r="D49" s="14" t="str">
        <x:v>Height-safety marking / labels</x:v>
      </x:c>
      <x:c r="E49" s="14" t="str">
        <x:v>Samples AND schedules of proposed marking and labels for each system component.</x:v>
      </x:c>
      <x:c r="F49" s="14" t="str">
        <x:v>Mandatory</x:v>
      </x:c>
      <x:c r="G49" s="14" t="str">
        <x:v>High</x:v>
      </x:c>
      <x:c r="H49" s="14" t="str"/>
      <x:c r="I49" s="16" t="str"/>
      <x:c r="J49" s="16" t="str"/>
      <x:c r="K49" s="14" t="str"/>
      <x:c r="L49" s="14" t="str">
        <x:v>Not Started</x:v>
      </x:c>
      <x:c r="M49" s="16" t="str"/>
      <x:c r="N49" s="14" t="str">
        <x:v>ARCS-25012-ARC-SPC-09900 Rev 2</x:v>
      </x:c>
      <x:c r="O49" s="14" t="str">
        <x:v>0193 – 1.6 SUBMISSIONS / Marking and labelling</x:v>
      </x:c>
      <x:c r="P49" s="14" t="n">
        <x:v>58</x:v>
      </x:c>
      <x:c r="Q49" s="14" t="str">
        <x:v>ARCS-25012-ARC-SPC-09900 Rev 2 | 0193 – 1.6 SUBMISSIONS / Marking and labelling | PDF p.58</x:v>
      </x:c>
      <x:c r="R49" s="14" t="str">
        <x:v>Samples and schedules of proposed marking and labels for each system component.</x:v>
      </x:c>
      <x:c r="S49" s="14" t="str"/>
      <x:c r="T49" s="14" t="str"/>
    </x:row>
    <x:row r="50">
      <x:c r="A50" s="12" t="str">
        <x:v>SMP-049</x:v>
      </x:c>
      <x:c r="B50" s="12" t="str">
        <x:v>Architectural</x:v>
      </x:c>
      <x:c r="C50" s="12" t="str">
        <x:v>Joinery</x:v>
      </x:c>
      <x:c r="D50" s="14" t="str">
        <x:v>Bench cupboard door</x:v>
      </x:c>
      <x:c r="E50" s="14" t="str">
        <x:v>1 complete with hardware.</x:v>
      </x:c>
      <x:c r="F50" s="14" t="str">
        <x:v>Mandatory</x:v>
      </x:c>
      <x:c r="G50" s="14" t="str">
        <x:v>High</x:v>
      </x:c>
      <x:c r="H50" s="14" t="str"/>
      <x:c r="I50" s="16" t="str"/>
      <x:c r="J50" s="16" t="str"/>
      <x:c r="K50" s="14" t="str"/>
      <x:c r="L50" s="14" t="str">
        <x:v>Not Started</x:v>
      </x:c>
      <x:c r="M50" s="16" t="str"/>
      <x:c r="N50" s="14" t="str">
        <x:v>ARCS-25012-ARC-SPC-09900 Rev 2</x:v>
      </x:c>
      <x:c r="O50" s="14" t="str">
        <x:v>0551 – 2.1 GENERAL / Samples</x:v>
      </x:c>
      <x:c r="P50" s="14" t="n">
        <x:v>294</x:v>
      </x:c>
      <x:c r="Q50" s="14" t="str">
        <x:v>ARCS-25012-ARC-SPC-09900 Rev 2 | 0551 – 2.1 GENERAL / Samples | PDF p.294</x:v>
      </x:c>
      <x:c r="R50" s="14" t="str">
        <x:v>Requirement: Provide samples as follows:</x:v>
      </x:c>
      <x:c r="S50" s="14" t="str"/>
      <x:c r="T50" s="14" t="str"/>
    </x:row>
    <x:row r="51">
      <x:c r="A51" s="12" t="str">
        <x:v>SMP-050</x:v>
      </x:c>
      <x:c r="B51" s="12" t="str">
        <x:v>Architectural</x:v>
      </x:c>
      <x:c r="C51" s="12" t="str">
        <x:v>Joinery</x:v>
      </x:c>
      <x:c r="D51" s="14" t="str">
        <x:v>Clear-finished timber – control sample</x:v>
      </x:c>
      <x:c r="E51" s="14" t="str">
        <x:v>Approved selection from initial submission.</x:v>
      </x:c>
      <x:c r="F51" s="14" t="str">
        <x:v>Mandatory</x:v>
      </x:c>
      <x:c r="G51" s="14" t="str">
        <x:v>High</x:v>
      </x:c>
      <x:c r="H51" s="14" t="str"/>
      <x:c r="I51" s="16" t="str"/>
      <x:c r="J51" s="16" t="str"/>
      <x:c r="K51" s="14" t="str"/>
      <x:c r="L51" s="14" t="str">
        <x:v>Not Started</x:v>
      </x:c>
      <x:c r="M51" s="16" t="str"/>
      <x:c r="N51" s="14" t="str">
        <x:v>ARCS-25012-ARC-SPC-09900 Rev 2</x:v>
      </x:c>
      <x:c r="O51" s="14" t="str">
        <x:v>0551 – 2.1 GENERAL / Samples</x:v>
      </x:c>
      <x:c r="P51" s="14" t="n">
        <x:v>294</x:v>
      </x:c>
      <x:c r="Q51" s="14" t="str">
        <x:v>ARCS-25012-ARC-SPC-09900 Rev 2 | 0551 – 2.1 GENERAL / Samples | PDF p.294</x:v>
      </x:c>
      <x:c r="R51" s="14" t="str">
        <x:v>Requirement: Provide samples as follows:</x:v>
      </x:c>
      <x:c r="S51" s="14" t="str"/>
      <x:c r="T51" s="14" t="str"/>
    </x:row>
    <x:row r="52">
      <x:c r="A52" s="12" t="str">
        <x:v>SMP-051</x:v>
      </x:c>
      <x:c r="B52" s="12" t="str">
        <x:v>Architectural</x:v>
      </x:c>
      <x:c r="C52" s="12" t="str">
        <x:v>Joinery</x:v>
      </x:c>
      <x:c r="D52" s="14" t="str">
        <x:v>Clear-finished timber – finished sample</x:v>
      </x:c>
      <x:c r="E52" s="14" t="str">
        <x:v>Cut control sample in half; apply finish to half of remaining area.</x:v>
      </x:c>
      <x:c r="F52" s="14" t="str">
        <x:v>Mandatory</x:v>
      </x:c>
      <x:c r="G52" s="14" t="str">
        <x:v>High</x:v>
      </x:c>
      <x:c r="H52" s="14" t="str"/>
      <x:c r="I52" s="16" t="str"/>
      <x:c r="J52" s="16" t="str"/>
      <x:c r="K52" s="14" t="str"/>
      <x:c r="L52" s="14" t="str">
        <x:v>Not Started</x:v>
      </x:c>
      <x:c r="M52" s="16" t="str"/>
      <x:c r="N52" s="14" t="str">
        <x:v>ARCS-25012-ARC-SPC-09900 Rev 2</x:v>
      </x:c>
      <x:c r="O52" s="14" t="str">
        <x:v>0551 – 2.1 GENERAL / Samples</x:v>
      </x:c>
      <x:c r="P52" s="14" t="n">
        <x:v>294</x:v>
      </x:c>
      <x:c r="Q52" s="14" t="str">
        <x:v>ARCS-25012-ARC-SPC-09900 Rev 2 | 0551 – 2.1 GENERAL / Samples | PDF p.294</x:v>
      </x:c>
      <x:c r="R52" s="14" t="str">
        <x:v>Requirement: Provide samples as follows:</x:v>
      </x:c>
      <x:c r="S52" s="14" t="str"/>
      <x:c r="T52" s="14" t="str"/>
    </x:row>
    <x:row r="53">
      <x:c r="A53" s="12" t="str">
        <x:v>SMP-052</x:v>
      </x:c>
      <x:c r="B53" s="12" t="str">
        <x:v>Architectural</x:v>
      </x:c>
      <x:c r="C53" s="12" t="str">
        <x:v>Joinery</x:v>
      </x:c>
      <x:c r="D53" s="14" t="str">
        <x:v>Clear-finished timber – solid timber initial</x:v>
      </x:c>
      <x:c r="E53" s="14" t="str">
        <x:v>3 samples EACH species; spec extraction indicates nominal 40 x 19 x 600 mm.</x:v>
      </x:c>
      <x:c r="F53" s="14" t="str">
        <x:v>Mandatory</x:v>
      </x:c>
      <x:c r="G53" s="14" t="str">
        <x:v>High</x:v>
      </x:c>
      <x:c r="H53" s="14" t="str"/>
      <x:c r="I53" s="16" t="str"/>
      <x:c r="J53" s="16" t="str"/>
      <x:c r="K53" s="14" t="str"/>
      <x:c r="L53" s="14" t="str">
        <x:v>Not Started</x:v>
      </x:c>
      <x:c r="M53" s="16" t="str"/>
      <x:c r="N53" s="14" t="str">
        <x:v>ARCS-25012-ARC-SPC-09900 Rev 2</x:v>
      </x:c>
      <x:c r="O53" s="14" t="str">
        <x:v>0551 – 2.1 GENERAL / Samples</x:v>
      </x:c>
      <x:c r="P53" s="14" t="n">
        <x:v>294</x:v>
      </x:c>
      <x:c r="Q53" s="14" t="str">
        <x:v>ARCS-25012-ARC-SPC-09900 Rev 2 | 0551 – 2.1 GENERAL / Samples | PDF p.294</x:v>
      </x:c>
      <x:c r="R53" s="14" t="str">
        <x:v>Requirement: Provide samples as follows:</x:v>
      </x:c>
      <x:c r="S53" s="14" t="str"/>
      <x:c r="T53" s="14" t="str"/>
    </x:row>
    <x:row r="54">
      <x:c r="A54" s="12" t="str">
        <x:v>SMP-053</x:v>
      </x:c>
      <x:c r="B54" s="12" t="str">
        <x:v>Architectural</x:v>
      </x:c>
      <x:c r="C54" s="12" t="str">
        <x:v>Joinery</x:v>
      </x:c>
      <x:c r="D54" s="14" t="str">
        <x:v>Clear-finished timber – veneered board initial</x:v>
      </x:c>
      <x:c r="E54" s="14" t="str">
        <x:v>3 samples, 600 x 600 mm, EACH species.</x:v>
      </x:c>
      <x:c r="F54" s="14" t="str">
        <x:v>Mandatory</x:v>
      </x:c>
      <x:c r="G54" s="14" t="str">
        <x:v>High</x:v>
      </x:c>
      <x:c r="H54" s="14" t="str"/>
      <x:c r="I54" s="16" t="str"/>
      <x:c r="J54" s="16" t="str"/>
      <x:c r="K54" s="14" t="str"/>
      <x:c r="L54" s="14" t="str">
        <x:v>Not Started</x:v>
      </x:c>
      <x:c r="M54" s="16" t="str"/>
      <x:c r="N54" s="14" t="str">
        <x:v>ARCS-25012-ARC-SPC-09900 Rev 2</x:v>
      </x:c>
      <x:c r="O54" s="14" t="str">
        <x:v>0551 – 2.1 GENERAL / Samples</x:v>
      </x:c>
      <x:c r="P54" s="14" t="n">
        <x:v>294</x:v>
      </x:c>
      <x:c r="Q54" s="14" t="str">
        <x:v>ARCS-25012-ARC-SPC-09900 Rev 2 | 0551 – 2.1 GENERAL / Samples | PDF p.294</x:v>
      </x:c>
      <x:c r="R54" s="14" t="str">
        <x:v>Requirement: Provide samples as follows:</x:v>
      </x:c>
      <x:c r="S54" s="14" t="str"/>
      <x:c r="T54" s="14" t="str"/>
    </x:row>
    <x:row r="55">
      <x:c r="A55" s="12" t="str">
        <x:v>SMP-054</x:v>
      </x:c>
      <x:c r="B55" s="12" t="str">
        <x:v>Architectural</x:v>
      </x:c>
      <x:c r="C55" s="12" t="str">
        <x:v>Joinery</x:v>
      </x:c>
      <x:c r="D55" s="14" t="str">
        <x:v>Drawer front</x:v>
      </x:c>
      <x:c r="E55" s="14" t="str">
        <x:v>1 complete with hardware.</x:v>
      </x:c>
      <x:c r="F55" s="14" t="str">
        <x:v>Mandatory</x:v>
      </x:c>
      <x:c r="G55" s="14" t="str">
        <x:v>High</x:v>
      </x:c>
      <x:c r="H55" s="14" t="str"/>
      <x:c r="I55" s="16" t="str"/>
      <x:c r="J55" s="16" t="str"/>
      <x:c r="K55" s="14" t="str"/>
      <x:c r="L55" s="14" t="str">
        <x:v>Not Started</x:v>
      </x:c>
      <x:c r="M55" s="16" t="str"/>
      <x:c r="N55" s="14" t="str">
        <x:v>ARCS-25012-ARC-SPC-09900 Rev 2</x:v>
      </x:c>
      <x:c r="O55" s="14" t="str">
        <x:v>0551 – 2.1 GENERAL / Samples</x:v>
      </x:c>
      <x:c r="P55" s="14" t="n">
        <x:v>294</x:v>
      </x:c>
      <x:c r="Q55" s="14" t="str">
        <x:v>ARCS-25012-ARC-SPC-09900 Rev 2 | 0551 – 2.1 GENERAL / Samples | PDF p.294</x:v>
      </x:c>
      <x:c r="R55" s="14" t="str">
        <x:v>Requirement: Provide samples as follows:</x:v>
      </x:c>
      <x:c r="S55" s="14" t="str"/>
      <x:c r="T55" s="14" t="str"/>
    </x:row>
    <x:row r="56">
      <x:c r="A56" s="12" t="str">
        <x:v>SMP-055</x:v>
      </x:c>
      <x:c r="B56" s="12" t="str">
        <x:v>Architectural</x:v>
      </x:c>
      <x:c r="C56" s="12" t="str">
        <x:v>Joinery</x:v>
      </x:c>
      <x:c r="D56" s="14" t="str">
        <x:v>Joinery boards</x:v>
      </x:c>
      <x:c r="E56" s="14" t="str">
        <x:v>2 of EACH type, complete with finish and edge stripping.</x:v>
      </x:c>
      <x:c r="F56" s="14" t="str">
        <x:v>Mandatory</x:v>
      </x:c>
      <x:c r="G56" s="14" t="str">
        <x:v>High</x:v>
      </x:c>
      <x:c r="H56" s="14" t="str"/>
      <x:c r="I56" s="16" t="str"/>
      <x:c r="J56" s="16" t="str"/>
      <x:c r="K56" s="14" t="str"/>
      <x:c r="L56" s="14" t="str">
        <x:v>Not Started</x:v>
      </x:c>
      <x:c r="M56" s="16" t="str"/>
      <x:c r="N56" s="14" t="str">
        <x:v>ARCS-25012-ARC-SPC-09900 Rev 2</x:v>
      </x:c>
      <x:c r="O56" s="14" t="str">
        <x:v>0551 – 2.1 GENERAL / Samples</x:v>
      </x:c>
      <x:c r="P56" s="14" t="n">
        <x:v>294</x:v>
      </x:c>
      <x:c r="Q56" s="14" t="str">
        <x:v>ARCS-25012-ARC-SPC-09900 Rev 2 | 0551 – 2.1 GENERAL / Samples | PDF p.294</x:v>
      </x:c>
      <x:c r="R56" s="14" t="str">
        <x:v>Requirement: Provide samples as follows:</x:v>
      </x:c>
      <x:c r="S56" s="14" t="str"/>
      <x:c r="T56" s="14" t="str"/>
    </x:row>
    <x:row r="57">
      <x:c r="A57" s="12" t="str">
        <x:v>SMP-056</x:v>
      </x:c>
      <x:c r="B57" s="12" t="str">
        <x:v>Architectural</x:v>
      </x:c>
      <x:c r="C57" s="12" t="str">
        <x:v>Joinery</x:v>
      </x:c>
      <x:c r="D57" s="14" t="str">
        <x:v>Joinery fabric</x:v>
      </x:c>
      <x:c r="E57" s="14" t="str">
        <x:v>2 swatches of EACH type.</x:v>
      </x:c>
      <x:c r="F57" s="14" t="str">
        <x:v>Mandatory</x:v>
      </x:c>
      <x:c r="G57" s="14" t="str">
        <x:v>High</x:v>
      </x:c>
      <x:c r="H57" s="14" t="str"/>
      <x:c r="I57" s="16" t="str"/>
      <x:c r="J57" s="16" t="str"/>
      <x:c r="K57" s="14" t="str"/>
      <x:c r="L57" s="14" t="str">
        <x:v>Not Started</x:v>
      </x:c>
      <x:c r="M57" s="16" t="str"/>
      <x:c r="N57" s="14" t="str">
        <x:v>ARCS-25012-ARC-SPC-09900 Rev 2</x:v>
      </x:c>
      <x:c r="O57" s="14" t="str">
        <x:v>0551 – 2.1 GENERAL / Samples</x:v>
      </x:c>
      <x:c r="P57" s="14" t="n">
        <x:v>294</x:v>
      </x:c>
      <x:c r="Q57" s="14" t="str">
        <x:v>ARCS-25012-ARC-SPC-09900 Rev 2 | 0551 – 2.1 GENERAL / Samples | PDF p.294</x:v>
      </x:c>
      <x:c r="R57" s="14" t="str">
        <x:v>Requirement: Provide samples as follows:</x:v>
      </x:c>
      <x:c r="S57" s="14" t="str"/>
      <x:c r="T57" s="14" t="str"/>
    </x:row>
    <x:row r="58">
      <x:c r="A58" s="12" t="str">
        <x:v>SMP-057</x:v>
      </x:c>
      <x:c r="B58" s="12" t="str">
        <x:v>Architectural</x:v>
      </x:c>
      <x:c r="C58" s="12" t="str">
        <x:v>Joinery</x:v>
      </x:c>
      <x:c r="D58" s="14" t="str">
        <x:v>Joinery joints</x:v>
      </x:c>
      <x:c r="E58" s="14" t="str">
        <x:v>2 of EACH type.</x:v>
      </x:c>
      <x:c r="F58" s="14" t="str">
        <x:v>Mandatory</x:v>
      </x:c>
      <x:c r="G58" s="14" t="str">
        <x:v>High</x:v>
      </x:c>
      <x:c r="H58" s="14" t="str"/>
      <x:c r="I58" s="16" t="str"/>
      <x:c r="J58" s="16" t="str"/>
      <x:c r="K58" s="14" t="str"/>
      <x:c r="L58" s="14" t="str">
        <x:v>Not Started</x:v>
      </x:c>
      <x:c r="M58" s="16" t="str"/>
      <x:c r="N58" s="14" t="str">
        <x:v>ARCS-25012-ARC-SPC-09900 Rev 2</x:v>
      </x:c>
      <x:c r="O58" s="14" t="str">
        <x:v>0551 – 2.1 GENERAL / Samples</x:v>
      </x:c>
      <x:c r="P58" s="14" t="n">
        <x:v>294</x:v>
      </x:c>
      <x:c r="Q58" s="14" t="str">
        <x:v>ARCS-25012-ARC-SPC-09900 Rev 2 | 0551 – 2.1 GENERAL / Samples | PDF p.294</x:v>
      </x:c>
      <x:c r="R58" s="14" t="str">
        <x:v>Requirement: Provide samples as follows:</x:v>
      </x:c>
      <x:c r="S58" s="14" t="str"/>
      <x:c r="T58" s="14" t="str"/>
    </x:row>
    <x:row r="59">
      <x:c r="A59" s="12" t="str">
        <x:v>SMP-058</x:v>
      </x:c>
      <x:c r="B59" s="12" t="str">
        <x:v>Architectural</x:v>
      </x:c>
      <x:c r="C59" s="12" t="str">
        <x:v>Joinery</x:v>
      </x:c>
      <x:c r="D59" s="14" t="str">
        <x:v>Joinery sealants</x:v>
      </x:c>
      <x:c r="E59" s="14" t="str">
        <x:v>1 of EACH type and colour.</x:v>
      </x:c>
      <x:c r="F59" s="14" t="str">
        <x:v>Mandatory</x:v>
      </x:c>
      <x:c r="G59" s="14" t="str">
        <x:v>High</x:v>
      </x:c>
      <x:c r="H59" s="14" t="str"/>
      <x:c r="I59" s="16" t="str"/>
      <x:c r="J59" s="16" t="str"/>
      <x:c r="K59" s="14" t="str"/>
      <x:c r="L59" s="14" t="str">
        <x:v>Not Started</x:v>
      </x:c>
      <x:c r="M59" s="16" t="str"/>
      <x:c r="N59" s="14" t="str">
        <x:v>ARCS-25012-ARC-SPC-09900 Rev 2</x:v>
      </x:c>
      <x:c r="O59" s="14" t="str">
        <x:v>0551 – 2.1 GENERAL / Samples</x:v>
      </x:c>
      <x:c r="P59" s="14" t="n">
        <x:v>294</x:v>
      </x:c>
      <x:c r="Q59" s="14" t="str">
        <x:v>ARCS-25012-ARC-SPC-09900 Rev 2 | 0551 – 2.1 GENERAL / Samples | PDF p.294</x:v>
      </x:c>
      <x:c r="R59" s="14" t="str">
        <x:v>Requirement: Provide samples as follows:</x:v>
      </x:c>
      <x:c r="S59" s="14" t="str"/>
      <x:c r="T59" s="14" t="str"/>
    </x:row>
    <x:row r="60">
      <x:c r="A60" s="12" t="str">
        <x:v>SMP-059</x:v>
      </x:c>
      <x:c r="B60" s="12" t="str">
        <x:v>Architectural</x:v>
      </x:c>
      <x:c r="C60" s="12" t="str">
        <x:v>Joinery</x:v>
      </x:c>
      <x:c r="D60" s="14" t="str">
        <x:v>Joinery stainless steel items</x:v>
      </x:c>
      <x:c r="E60" s="14" t="str">
        <x:v>2 of EACH type.</x:v>
      </x:c>
      <x:c r="F60" s="14" t="str">
        <x:v>Mandatory</x:v>
      </x:c>
      <x:c r="G60" s="14" t="str">
        <x:v>High</x:v>
      </x:c>
      <x:c r="H60" s="14" t="str"/>
      <x:c r="I60" s="16" t="str"/>
      <x:c r="J60" s="16" t="str"/>
      <x:c r="K60" s="14" t="str"/>
      <x:c r="L60" s="14" t="str">
        <x:v>Not Started</x:v>
      </x:c>
      <x:c r="M60" s="16" t="str"/>
      <x:c r="N60" s="14" t="str">
        <x:v>ARCS-25012-ARC-SPC-09900 Rev 2</x:v>
      </x:c>
      <x:c r="O60" s="14" t="str">
        <x:v>0551 – 2.1 GENERAL / Samples</x:v>
      </x:c>
      <x:c r="P60" s="14" t="n">
        <x:v>294</x:v>
      </x:c>
      <x:c r="Q60" s="14" t="str">
        <x:v>ARCS-25012-ARC-SPC-09900 Rev 2 | 0551 – 2.1 GENERAL / Samples | PDF p.294</x:v>
      </x:c>
      <x:c r="R60" s="14" t="str">
        <x:v>Requirement: Provide samples as follows:</x:v>
      </x:c>
      <x:c r="S60" s="14" t="str"/>
      <x:c r="T60" s="14" t="str"/>
    </x:row>
    <x:row r="61">
      <x:c r="A61" s="12" t="str">
        <x:v>SMP-060</x:v>
      </x:c>
      <x:c r="B61" s="12" t="str">
        <x:v>Architectural</x:v>
      </x:c>
      <x:c r="C61" s="12" t="str">
        <x:v>Joinery</x:v>
      </x:c>
      <x:c r="D61" s="14" t="str">
        <x:v>Joinery stone cladding</x:v>
      </x:c>
      <x:c r="E61" s="14" t="str">
        <x:v>3 variants; 2 samples of each variant showing max expected variation.</x:v>
      </x:c>
      <x:c r="F61" s="14" t="str">
        <x:v>Mandatory</x:v>
      </x:c>
      <x:c r="G61" s="14" t="str">
        <x:v>High</x:v>
      </x:c>
      <x:c r="H61" s="14" t="str"/>
      <x:c r="I61" s="16" t="str"/>
      <x:c r="J61" s="16" t="str"/>
      <x:c r="K61" s="14" t="str"/>
      <x:c r="L61" s="14" t="str">
        <x:v>Not Started</x:v>
      </x:c>
      <x:c r="M61" s="16" t="str"/>
      <x:c r="N61" s="14" t="str">
        <x:v>ARCS-25012-ARC-SPC-09900 Rev 2</x:v>
      </x:c>
      <x:c r="O61" s="14" t="str">
        <x:v>0551 – 2.1 GENERAL / Samples</x:v>
      </x:c>
      <x:c r="P61" s="14" t="n">
        <x:v>294</x:v>
      </x:c>
      <x:c r="Q61" s="14" t="str">
        <x:v>ARCS-25012-ARC-SPC-09900 Rev 2 | 0551 – 2.1 GENERAL / Samples | PDF p.294</x:v>
      </x:c>
      <x:c r="R61" s="14" t="str">
        <x:v>Requirement: Provide samples as follows:</x:v>
      </x:c>
      <x:c r="S61" s="14" t="str"/>
      <x:c r="T61" s="14" t="str"/>
    </x:row>
    <x:row r="62">
      <x:c r="A62" s="12" t="str">
        <x:v>SMP-061</x:v>
      </x:c>
      <x:c r="B62" s="12" t="str">
        <x:v>Architectural</x:v>
      </x:c>
      <x:c r="C62" s="12" t="str">
        <x:v>Joinery</x:v>
      </x:c>
      <x:c r="D62" s="14" t="str">
        <x:v>Joinery timber veneer</x:v>
      </x:c>
      <x:c r="E62" s="14" t="str">
        <x:v>3 variants; 2 samples of each variant showing max expected variation.</x:v>
      </x:c>
      <x:c r="F62" s="14" t="str">
        <x:v>Mandatory</x:v>
      </x:c>
      <x:c r="G62" s="14" t="str">
        <x:v>High</x:v>
      </x:c>
      <x:c r="H62" s="14" t="str"/>
      <x:c r="I62" s="16" t="str"/>
      <x:c r="J62" s="16" t="str"/>
      <x:c r="K62" s="14" t="str"/>
      <x:c r="L62" s="14" t="str">
        <x:v>Not Started</x:v>
      </x:c>
      <x:c r="M62" s="16" t="str"/>
      <x:c r="N62" s="14" t="str">
        <x:v>ARCS-25012-ARC-SPC-09900 Rev 2</x:v>
      </x:c>
      <x:c r="O62" s="14" t="str">
        <x:v>0551 – 2.1 GENERAL / Samples</x:v>
      </x:c>
      <x:c r="P62" s="14" t="n">
        <x:v>294</x:v>
      </x:c>
      <x:c r="Q62" s="14" t="str">
        <x:v>ARCS-25012-ARC-SPC-09900 Rev 2 | 0551 – 2.1 GENERAL / Samples | PDF p.294</x:v>
      </x:c>
      <x:c r="R62" s="14" t="str">
        <x:v>Requirement: Provide samples as follows:</x:v>
      </x:c>
      <x:c r="S62" s="14" t="str"/>
      <x:c r="T62" s="14" t="str"/>
    </x:row>
    <x:row r="63">
      <x:c r="A63" s="12" t="str">
        <x:v>SMP-062</x:v>
      </x:c>
      <x:c r="B63" s="12" t="str">
        <x:v>Architectural</x:v>
      </x:c>
      <x:c r="C63" s="12" t="str">
        <x:v>Joinery</x:v>
      </x:c>
      <x:c r="D63" s="14" t="str">
        <x:v>Joinery typical hardware</x:v>
      </x:c>
      <x:c r="E63" s="14" t="str">
        <x:v>2 samples showing EACH finish.</x:v>
      </x:c>
      <x:c r="F63" s="14" t="str">
        <x:v>Mandatory</x:v>
      </x:c>
      <x:c r="G63" s="14" t="str">
        <x:v>High</x:v>
      </x:c>
      <x:c r="H63" s="14" t="str"/>
      <x:c r="I63" s="16" t="str"/>
      <x:c r="J63" s="16" t="str"/>
      <x:c r="K63" s="14" t="str"/>
      <x:c r="L63" s="14" t="str">
        <x:v>Not Started</x:v>
      </x:c>
      <x:c r="M63" s="16" t="str"/>
      <x:c r="N63" s="14" t="str">
        <x:v>ARCS-25012-ARC-SPC-09900 Rev 2</x:v>
      </x:c>
      <x:c r="O63" s="14" t="str">
        <x:v>0551 – 2.1 GENERAL / Samples</x:v>
      </x:c>
      <x:c r="P63" s="14" t="n">
        <x:v>294</x:v>
      </x:c>
      <x:c r="Q63" s="14" t="str">
        <x:v>ARCS-25012-ARC-SPC-09900 Rev 2 | 0551 – 2.1 GENERAL / Samples | PDF p.294</x:v>
      </x:c>
      <x:c r="R63" s="14" t="str">
        <x:v>Requirement: Provide samples as follows:</x:v>
      </x:c>
      <x:c r="S63" s="14" t="str"/>
      <x:c r="T63" s="14" t="str"/>
    </x:row>
    <x:row r="64">
      <x:c r="A64" s="12" t="str">
        <x:v>SMP-063</x:v>
      </x:c>
      <x:c r="B64" s="12" t="str">
        <x:v>Architectural</x:v>
      </x:c>
      <x:c r="C64" s="12" t="str">
        <x:v>Joinery</x:v>
      </x:c>
      <x:c r="D64" s="14" t="str">
        <x:v>Overhead cupboard door</x:v>
      </x:c>
      <x:c r="E64" s="14" t="str">
        <x:v>1 complete with hardware.</x:v>
      </x:c>
      <x:c r="F64" s="14" t="str">
        <x:v>Mandatory</x:v>
      </x:c>
      <x:c r="G64" s="14" t="str">
        <x:v>High</x:v>
      </x:c>
      <x:c r="H64" s="14" t="str"/>
      <x:c r="I64" s="16" t="str"/>
      <x:c r="J64" s="16" t="str"/>
      <x:c r="K64" s="14" t="str"/>
      <x:c r="L64" s="14" t="str">
        <x:v>Not Started</x:v>
      </x:c>
      <x:c r="M64" s="16" t="str"/>
      <x:c r="N64" s="14" t="str">
        <x:v>ARCS-25012-ARC-SPC-09900 Rev 2</x:v>
      </x:c>
      <x:c r="O64" s="14" t="str">
        <x:v>0551 – 2.1 GENERAL / Samples</x:v>
      </x:c>
      <x:c r="P64" s="14" t="n">
        <x:v>294</x:v>
      </x:c>
      <x:c r="Q64" s="14" t="str">
        <x:v>ARCS-25012-ARC-SPC-09900 Rev 2 | 0551 – 2.1 GENERAL / Samples | PDF p.294</x:v>
      </x:c>
      <x:c r="R64" s="14" t="str">
        <x:v>Requirement: Provide samples as follows:</x:v>
      </x:c>
      <x:c r="S64" s="14" t="str"/>
      <x:c r="T64" s="14" t="str"/>
    </x:row>
    <x:row r="65">
      <x:c r="A65" s="12" t="str">
        <x:v>SMP-064</x:v>
      </x:c>
      <x:c r="B65" s="12" t="str">
        <x:v>Architectural</x:v>
      </x:c>
      <x:c r="C65" s="12" t="str">
        <x:v>Joinery</x:v>
      </x:c>
      <x:c r="D65" s="14" t="str">
        <x:v>Timber stair stringer / riser / going / balustrade / handrail</x:v>
      </x:c>
      <x:c r="E65" s="14" t="str">
        <x:v>1 finished sample.</x:v>
      </x:c>
      <x:c r="F65" s="14" t="str">
        <x:v>Mandatory</x:v>
      </x:c>
      <x:c r="G65" s="14" t="str">
        <x:v>High</x:v>
      </x:c>
      <x:c r="H65" s="14" t="str"/>
      <x:c r="I65" s="16" t="str"/>
      <x:c r="J65" s="16" t="str"/>
      <x:c r="K65" s="14" t="str"/>
      <x:c r="L65" s="14" t="str">
        <x:v>Not Started</x:v>
      </x:c>
      <x:c r="M65" s="16" t="str"/>
      <x:c r="N65" s="14" t="str">
        <x:v>ARCS-25012-ARC-SPC-09900 Rev 2</x:v>
      </x:c>
      <x:c r="O65" s="14" t="str">
        <x:v>0551 – 2.1 GENERAL / Samples</x:v>
      </x:c>
      <x:c r="P65" s="14" t="n">
        <x:v>294</x:v>
      </x:c>
      <x:c r="Q65" s="14" t="str">
        <x:v>ARCS-25012-ARC-SPC-09900 Rev 2 | 0551 – 2.1 GENERAL / Samples | PDF p.294</x:v>
      </x:c>
      <x:c r="R65" s="14" t="str">
        <x:v>Requirement: Provide samples as follows:</x:v>
      </x:c>
      <x:c r="S65" s="14" t="str"/>
      <x:c r="T65" s="14" t="str"/>
    </x:row>
    <x:row r="66">
      <x:c r="A66" s="12" t="str">
        <x:v>SMP-065</x:v>
      </x:c>
      <x:c r="B66" s="12" t="str">
        <x:v>Architectural</x:v>
      </x:c>
      <x:c r="C66" s="12" t="str">
        <x:v>Linings</x:v>
      </x:c>
      <x:c r="D66" s="14" t="str">
        <x:v>Prefinished lining panels</x:v>
      </x:c>
      <x:c r="E66" s="14" t="str">
        <x:v>For EACH finish: 300 x 600 mm sample panel with associated trim.</x:v>
      </x:c>
      <x:c r="F66" s="14" t="str">
        <x:v>Mandatory</x:v>
      </x:c>
      <x:c r="G66" s="14" t="str">
        <x:v>High</x:v>
      </x:c>
      <x:c r="H66" s="14" t="str"/>
      <x:c r="I66" s="16" t="str"/>
      <x:c r="J66" s="16" t="str"/>
      <x:c r="K66" s="14" t="str"/>
      <x:c r="L66" s="14" t="str">
        <x:v>Not Started</x:v>
      </x:c>
      <x:c r="M66" s="16" t="str"/>
      <x:c r="N66" s="14" t="str">
        <x:v>ARCS-25012-ARC-SPC-09900 Rev 2</x:v>
      </x:c>
      <x:c r="O66" s="14" t="str">
        <x:v>0511 – 2.1 GENERAL / Samples</x:v>
      </x:c>
      <x:c r="P66" s="14" t="n">
        <x:v>266</x:v>
      </x:c>
      <x:c r="Q66" s="14" t="str">
        <x:v>ARCS-25012-ARC-SPC-09900 Rev 2 | 0511 – 2.1 GENERAL / Samples | PDF p.266</x:v>
      </x:c>
      <x:c r="R66" s="14" t="str">
        <x:v>Prefinished panels: For each finish, provide a 300 x 600 mm sample panel with associated trim.</x:v>
      </x:c>
      <x:c r="S66" s="14" t="str"/>
      <x:c r="T66" s="14" t="str"/>
    </x:row>
    <x:row r="67">
      <x:c r="A67" s="12" t="str">
        <x:v>SMP-066</x:v>
      </x:c>
      <x:c r="B67" s="12" t="str">
        <x:v>Architectural</x:v>
      </x:c>
      <x:c r="C67" s="12" t="str">
        <x:v>Metals / prefinishes</x:v>
      </x:c>
      <x:c r="D67" s="14" t="str">
        <x:v>Anodising colours / finishes</x:v>
      </x:c>
      <x:c r="E67" s="14" t="str">
        <x:v>One sample of EVERY colour and finishing option.</x:v>
      </x:c>
      <x:c r="F67" s="14" t="str">
        <x:v>Mandatory</x:v>
      </x:c>
      <x:c r="G67" s="14" t="str">
        <x:v>High</x:v>
      </x:c>
      <x:c r="H67" s="14" t="str"/>
      <x:c r="I67" s="16" t="str"/>
      <x:c r="J67" s="16" t="str"/>
      <x:c r="K67" s="14" t="str"/>
      <x:c r="L67" s="14" t="str">
        <x:v>Not Started</x:v>
      </x:c>
      <x:c r="M67" s="16" t="str"/>
      <x:c r="N67" s="14" t="str">
        <x:v>ARCS-25012-ARC-SPC-09900 Rev 2</x:v>
      </x:c>
      <x:c r="O67" s="14" t="str">
        <x:v>0183 – 2.1 GENERAL / Samples</x:v>
      </x:c>
      <x:c r="P67" s="14" t="n">
        <x:v>50</x:v>
      </x:c>
      <x:c r="Q67" s="14" t="str">
        <x:v>ARCS-25012-ARC-SPC-09900 Rev 2 | 0183 – 2.1 GENERAL / Samples | PDF p.50</x:v>
      </x:c>
      <x:c r="R67" s="14" t="str">
        <x:v>Requirement: Provide samples of the following:</x:v>
      </x:c>
      <x:c r="S67" s="14" t="str"/>
      <x:c r="T67" s="14" t="str"/>
    </x:row>
    <x:row r="68">
      <x:c r="A68" s="12" t="str">
        <x:v>SMP-067</x:v>
      </x:c>
      <x:c r="B68" s="12" t="str">
        <x:v>Architectural</x:v>
      </x:c>
      <x:c r="C68" s="12" t="str">
        <x:v>Metals / prefinishes</x:v>
      </x:c>
      <x:c r="D68" s="14" t="str">
        <x:v>Stainless steel finishes</x:v>
      </x:c>
      <x:c r="E68" s="14" t="str">
        <x:v>One sample of EVERY documented surface finish.</x:v>
      </x:c>
      <x:c r="F68" s="14" t="str">
        <x:v>Mandatory</x:v>
      </x:c>
      <x:c r="G68" s="14" t="str">
        <x:v>High</x:v>
      </x:c>
      <x:c r="H68" s="14" t="str"/>
      <x:c r="I68" s="16" t="str"/>
      <x:c r="J68" s="16" t="str"/>
      <x:c r="K68" s="14" t="str"/>
      <x:c r="L68" s="14" t="str">
        <x:v>Not Started</x:v>
      </x:c>
      <x:c r="M68" s="16" t="str"/>
      <x:c r="N68" s="14" t="str">
        <x:v>ARCS-25012-ARC-SPC-09900 Rev 2</x:v>
      </x:c>
      <x:c r="O68" s="14" t="str">
        <x:v>0183 – 2.1 GENERAL / Samples</x:v>
      </x:c>
      <x:c r="P68" s="14" t="n">
        <x:v>50</x:v>
      </x:c>
      <x:c r="Q68" s="14" t="str">
        <x:v>ARCS-25012-ARC-SPC-09900 Rev 2 | 0183 – 2.1 GENERAL / Samples | PDF p.50</x:v>
      </x:c>
      <x:c r="R68" s="14" t="str">
        <x:v>Requirement: Provide samples of the following:</x:v>
      </x:c>
      <x:c r="S68" s="14" t="str"/>
      <x:c r="T68" s="14" t="str"/>
    </x:row>
    <x:row r="69">
      <x:c r="A69" s="12" t="str">
        <x:v>SMP-068</x:v>
      </x:c>
      <x:c r="B69" s="12" t="str">
        <x:v>Architectural</x:v>
      </x:c>
      <x:c r="C69" s="12" t="str">
        <x:v>Overhead doors</x:v>
      </x:c>
      <x:c r="D69" s="14" t="str">
        <x:v>Overhead door – frame / louvre / slat sections</x:v>
      </x:c>
      <x:c r="E69" s="14" t="str">
        <x:v>2 samples if applicable.</x:v>
      </x:c>
      <x:c r="F69" s="14" t="str">
        <x:v>Mandatory if applicable</x:v>
      </x:c>
      <x:c r="G69" s="14" t="str">
        <x:v>High</x:v>
      </x:c>
      <x:c r="H69" s="14" t="str"/>
      <x:c r="I69" s="16" t="str"/>
      <x:c r="J69" s="16" t="str"/>
      <x:c r="K69" s="14" t="str"/>
      <x:c r="L69" s="14" t="str">
        <x:v>Not Started</x:v>
      </x:c>
      <x:c r="M69" s="16" t="str"/>
      <x:c r="N69" s="14" t="str">
        <x:v>ARCS-25012-ARC-SPC-09900 Rev 2</x:v>
      </x:c>
      <x:c r="O69" s="14" t="str">
        <x:v>0454 – 2.1 GENERAL / Samples</x:v>
      </x:c>
      <x:c r="P69" s="14" t="n">
        <x:v>213</x:v>
      </x:c>
      <x:c r="Q69" s="14" t="str">
        <x:v>ARCS-25012-ARC-SPC-09900 Rev 2 | 0454 – 2.1 GENERAL / Samples | PDF p.213</x:v>
      </x:c>
      <x:c r="R69" s="14" t="str">
        <x:v>Requirement: Provide 2 samples of each of the following if applicable:</x:v>
      </x:c>
      <x:c r="S69" s="14" t="str"/>
      <x:c r="T69" s="14" t="str"/>
    </x:row>
    <x:row r="70">
      <x:c r="A70" s="12" t="str">
        <x:v>SMP-069</x:v>
      </x:c>
      <x:c r="B70" s="12" t="str">
        <x:v>Architectural</x:v>
      </x:c>
      <x:c r="C70" s="12" t="str">
        <x:v>Overhead doors</x:v>
      </x:c>
      <x:c r="D70" s="14" t="str">
        <x:v>Overhead door – prefinished colour materials</x:v>
      </x:c>
      <x:c r="E70" s="14" t="str">
        <x:v>2 samples if applicable; show colour variation.</x:v>
      </x:c>
      <x:c r="F70" s="14" t="str">
        <x:v>Mandatory if applicable</x:v>
      </x:c>
      <x:c r="G70" s="14" t="str">
        <x:v>High</x:v>
      </x:c>
      <x:c r="H70" s="14" t="str"/>
      <x:c r="I70" s="16" t="str"/>
      <x:c r="J70" s="16" t="str"/>
      <x:c r="K70" s="14" t="str"/>
      <x:c r="L70" s="14" t="str">
        <x:v>Not Started</x:v>
      </x:c>
      <x:c r="M70" s="16" t="str"/>
      <x:c r="N70" s="14" t="str">
        <x:v>ARCS-25012-ARC-SPC-09900 Rev 2</x:v>
      </x:c>
      <x:c r="O70" s="14" t="str">
        <x:v>0454 – 2.1 GENERAL / Samples</x:v>
      </x:c>
      <x:c r="P70" s="14" t="n">
        <x:v>213</x:v>
      </x:c>
      <x:c r="Q70" s="14" t="str">
        <x:v>ARCS-25012-ARC-SPC-09900 Rev 2 | 0454 – 2.1 GENERAL / Samples | PDF p.213</x:v>
      </x:c>
      <x:c r="R70" s="14" t="str">
        <x:v>Requirement: Provide 2 samples of each of the following if applicable:</x:v>
      </x:c>
      <x:c r="S70" s="14" t="str"/>
      <x:c r="T70" s="14" t="str"/>
    </x:row>
    <x:row r="71">
      <x:c r="A71" s="12" t="str">
        <x:v>SMP-070</x:v>
      </x:c>
      <x:c r="B71" s="12" t="str">
        <x:v>Architectural</x:v>
      </x:c>
      <x:c r="C71" s="12" t="str">
        <x:v>Overhead doors</x:v>
      </x:c>
      <x:c r="D71" s="14" t="str">
        <x:v>Overhead door – prepared surface finishes</x:v>
      </x:c>
      <x:c r="E71" s="14" t="str">
        <x:v>2 samples if applicable.</x:v>
      </x:c>
      <x:c r="F71" s="14" t="str">
        <x:v>Mandatory if applicable</x:v>
      </x:c>
      <x:c r="G71" s="14" t="str">
        <x:v>High</x:v>
      </x:c>
      <x:c r="H71" s="14" t="str"/>
      <x:c r="I71" s="16" t="str"/>
      <x:c r="J71" s="16" t="str"/>
      <x:c r="K71" s="14" t="str"/>
      <x:c r="L71" s="14" t="str">
        <x:v>Not Started</x:v>
      </x:c>
      <x:c r="M71" s="16" t="str"/>
      <x:c r="N71" s="14" t="str">
        <x:v>ARCS-25012-ARC-SPC-09900 Rev 2</x:v>
      </x:c>
      <x:c r="O71" s="14" t="str">
        <x:v>0454 – 2.1 GENERAL / Samples</x:v>
      </x:c>
      <x:c r="P71" s="14" t="n">
        <x:v>213</x:v>
      </x:c>
      <x:c r="Q71" s="14" t="str">
        <x:v>ARCS-25012-ARC-SPC-09900 Rev 2 | 0454 – 2.1 GENERAL / Samples | PDF p.213</x:v>
      </x:c>
      <x:c r="R71" s="14" t="str">
        <x:v>Requirement: Provide 2 samples of each of the following if applicable:</x:v>
      </x:c>
      <x:c r="S71" s="14" t="str"/>
      <x:c r="T71" s="14" t="str"/>
    </x:row>
    <x:row r="72">
      <x:c r="A72" s="12" t="str">
        <x:v>SMP-071</x:v>
      </x:c>
      <x:c r="B72" s="12" t="str">
        <x:v>Architectural</x:v>
      </x:c>
      <x:c r="C72" s="12" t="str">
        <x:v>Overhead doors</x:v>
      </x:c>
      <x:c r="D72" s="14" t="str">
        <x:v>Overhead door – proposed joints</x:v>
      </x:c>
      <x:c r="E72" s="14" t="str">
        <x:v>2 samples if applicable.</x:v>
      </x:c>
      <x:c r="F72" s="14" t="str">
        <x:v>Mandatory if applicable</x:v>
      </x:c>
      <x:c r="G72" s="14" t="str">
        <x:v>High</x:v>
      </x:c>
      <x:c r="H72" s="14" t="str"/>
      <x:c r="I72" s="16" t="str"/>
      <x:c r="J72" s="16" t="str"/>
      <x:c r="K72" s="14" t="str"/>
      <x:c r="L72" s="14" t="str">
        <x:v>Not Started</x:v>
      </x:c>
      <x:c r="M72" s="16" t="str"/>
      <x:c r="N72" s="14" t="str">
        <x:v>ARCS-25012-ARC-SPC-09900 Rev 2</x:v>
      </x:c>
      <x:c r="O72" s="14" t="str">
        <x:v>0454 – 2.1 GENERAL / Samples</x:v>
      </x:c>
      <x:c r="P72" s="14" t="n">
        <x:v>213</x:v>
      </x:c>
      <x:c r="Q72" s="14" t="str">
        <x:v>ARCS-25012-ARC-SPC-09900 Rev 2 | 0454 – 2.1 GENERAL / Samples | PDF p.213</x:v>
      </x:c>
      <x:c r="R72" s="14" t="str">
        <x:v>Requirement: Provide 2 samples of each of the following if applicable:</x:v>
      </x:c>
      <x:c r="S72" s="14" t="str"/>
      <x:c r="T72" s="14" t="str"/>
    </x:row>
    <x:row r="73">
      <x:c r="A73" s="12" t="str">
        <x:v>SMP-072</x:v>
      </x:c>
      <x:c r="B73" s="12" t="str">
        <x:v>Architectural</x:v>
      </x:c>
      <x:c r="C73" s="12" t="str">
        <x:v>Overhead doors</x:v>
      </x:c>
      <x:c r="D73" s="14" t="str">
        <x:v>Overhead door – standard hardware</x:v>
      </x:c>
      <x:c r="E73" s="14" t="str">
        <x:v>2 samples if applicable.</x:v>
      </x:c>
      <x:c r="F73" s="14" t="str">
        <x:v>Mandatory if applicable</x:v>
      </x:c>
      <x:c r="G73" s="14" t="str">
        <x:v>High</x:v>
      </x:c>
      <x:c r="H73" s="14" t="str"/>
      <x:c r="I73" s="16" t="str"/>
      <x:c r="J73" s="16" t="str"/>
      <x:c r="K73" s="14" t="str"/>
      <x:c r="L73" s="14" t="str">
        <x:v>Not Started</x:v>
      </x:c>
      <x:c r="M73" s="16" t="str"/>
      <x:c r="N73" s="14" t="str">
        <x:v>ARCS-25012-ARC-SPC-09900 Rev 2</x:v>
      </x:c>
      <x:c r="O73" s="14" t="str">
        <x:v>0454 – 2.1 GENERAL / Samples</x:v>
      </x:c>
      <x:c r="P73" s="14" t="n">
        <x:v>213</x:v>
      </x:c>
      <x:c r="Q73" s="14" t="str">
        <x:v>ARCS-25012-ARC-SPC-09900 Rev 2 | 0454 – 2.1 GENERAL / Samples | PDF p.213</x:v>
      </x:c>
      <x:c r="R73" s="14" t="str">
        <x:v>Requirement: Provide 2 samples of each of the following if applicable:</x:v>
      </x:c>
      <x:c r="S73" s="14" t="str"/>
      <x:c r="T73" s="14" t="str"/>
    </x:row>
    <x:row r="74">
      <x:c r="A74" s="12" t="str">
        <x:v>SMP-073</x:v>
      </x:c>
      <x:c r="B74" s="12" t="str">
        <x:v>Architectural</x:v>
      </x:c>
      <x:c r="C74" s="12" t="str">
        <x:v>Painting</x:v>
      </x:c>
      <x:c r="D74" s="14" t="str">
        <x:v>Clear paint finish</x:v>
      </x:c>
      <x:c r="E74" s="14" t="str">
        <x:v>Each clear finish on representative timber/veneer; include putty/stain/seal/coat; show preparation, gloss and physical properties.</x:v>
      </x:c>
      <x:c r="F74" s="14" t="str">
        <x:v>Mandatory</x:v>
      </x:c>
      <x:c r="G74" s="14" t="str">
        <x:v>High</x:v>
      </x:c>
      <x:c r="H74" s="14" t="str"/>
      <x:c r="I74" s="16" t="str"/>
      <x:c r="J74" s="16" t="str"/>
      <x:c r="K74" s="14" t="str"/>
      <x:c r="L74" s="14" t="str">
        <x:v>Not Started</x:v>
      </x:c>
      <x:c r="M74" s="16" t="str"/>
      <x:c r="N74" s="14" t="str">
        <x:v>ARCS-25012-ARC-SPC-09900 Rev 2</x:v>
      </x:c>
      <x:c r="O74" s="14" t="str">
        <x:v>0671 – 2.1 GENERAL / Samples</x:v>
      </x:c>
      <x:c r="P74" s="14" t="n">
        <x:v>93</x:v>
      </x:c>
      <x:c r="Q74" s="14" t="str">
        <x:v>ARCS-25012-ARC-SPC-09900 Rev 2 | 0671 – 2.1 GENERAL / Samples | PDF p.93</x:v>
      </x:c>
      <x:c r="R74" s="14" t="str">
        <x:v>Requirement: Provide samples, as follows:</x:v>
      </x:c>
      <x:c r="S74" s="14" t="str"/>
      <x:c r="T74" s="14" t="str"/>
    </x:row>
    <x:row r="75">
      <x:c r="A75" s="12" t="str">
        <x:v>SMP-074</x:v>
      </x:c>
      <x:c r="B75" s="12" t="str">
        <x:v>Architectural</x:v>
      </x:c>
      <x:c r="C75" s="12" t="str">
        <x:v>Painting</x:v>
      </x:c>
      <x:c r="D75" s="14" t="str">
        <x:v>Opaque paint system</x:v>
      </x:c>
      <x:c r="E75" s="14" t="str">
        <x:v>Each system on representative substrate; show preparation, colour, gloss, texture and physical properties.</x:v>
      </x:c>
      <x:c r="F75" s="14" t="str">
        <x:v>Mandatory</x:v>
      </x:c>
      <x:c r="G75" s="14" t="str">
        <x:v>High</x:v>
      </x:c>
      <x:c r="H75" s="14" t="str"/>
      <x:c r="I75" s="16" t="str"/>
      <x:c r="J75" s="16" t="str"/>
      <x:c r="K75" s="14" t="str"/>
      <x:c r="L75" s="14" t="str">
        <x:v>Not Started</x:v>
      </x:c>
      <x:c r="M75" s="16" t="str"/>
      <x:c r="N75" s="14" t="str">
        <x:v>ARCS-25012-ARC-SPC-09900 Rev 2</x:v>
      </x:c>
      <x:c r="O75" s="14" t="str">
        <x:v>0671 – 2.1 GENERAL / Samples</x:v>
      </x:c>
      <x:c r="P75" s="14" t="n">
        <x:v>93</x:v>
      </x:c>
      <x:c r="Q75" s="14" t="str">
        <x:v>ARCS-25012-ARC-SPC-09900 Rev 2 | 0671 – 2.1 GENERAL / Samples | PDF p.93</x:v>
      </x:c>
      <x:c r="R75" s="14" t="str">
        <x:v>Requirement: Provide samples, as follows:</x:v>
      </x:c>
      <x:c r="S75" s="14" t="str"/>
      <x:c r="T75" s="14" t="str"/>
    </x:row>
    <x:row r="76">
      <x:c r="A76" s="12" t="str">
        <x:v>SMP-075</x:v>
      </x:c>
      <x:c r="B76" s="12" t="str">
        <x:v>Architectural</x:v>
      </x:c>
      <x:c r="C76" s="12" t="str">
        <x:v>Partitions</x:v>
      </x:c>
      <x:c r="D76" s="14" t="str">
        <x:v>Glazed partition framing extrusion</x:v>
      </x:c>
      <x:c r="E76" s="14" t="str">
        <x:v>Prefinished production extrusion; min 100 mm; show finish/colour variation.</x:v>
      </x:c>
      <x:c r="F76" s="14" t="str">
        <x:v>Mandatory where applicable</x:v>
      </x:c>
      <x:c r="G76" s="14" t="str">
        <x:v>High</x:v>
      </x:c>
      <x:c r="H76" s="14" t="str"/>
      <x:c r="I76" s="16" t="str"/>
      <x:c r="J76" s="16" t="str"/>
      <x:c r="K76" s="14" t="str"/>
      <x:c r="L76" s="14" t="str">
        <x:v>Not Started</x:v>
      </x:c>
      <x:c r="M76" s="16" t="str"/>
      <x:c r="N76" s="14" t="str">
        <x:v>ARCS-25012-ARC-SPC-09900 Rev 2</x:v>
      </x:c>
      <x:c r="O76" s="14" t="str">
        <x:v>0520 – 2.1 GENERAL / Samples</x:v>
      </x:c>
      <x:c r="P76" s="14" t="n">
        <x:v>277</x:v>
      </x:c>
      <x:c r="Q76" s="14" t="str">
        <x:v>ARCS-25012-ARC-SPC-09900 Rev 2 | 0520 – 2.1 GENERAL / Samples | PDF p.277</x:v>
      </x:c>
      <x:c r="R76" s="14" t="str">
        <x:v>Demountable partitions: For each partition type, provide samples of the following:</x:v>
      </x:c>
      <x:c r="S76" s="14" t="str"/>
      <x:c r="T76" s="14" t="str"/>
    </x:row>
    <x:row r="77">
      <x:c r="A77" s="12" t="str">
        <x:v>SMP-076</x:v>
      </x:c>
      <x:c r="B77" s="12" t="str">
        <x:v>Architectural</x:v>
      </x:c>
      <x:c r="C77" s="12" t="str">
        <x:v>Partitions</x:v>
      </x:c>
      <x:c r="D77" s="14" t="str">
        <x:v>Glazed partition framing joint</x:v>
      </x:c>
      <x:c r="E77" s="14" t="str">
        <x:v>Joint made by proposed technique.</x:v>
      </x:c>
      <x:c r="F77" s="14" t="str">
        <x:v>Mandatory where applicable</x:v>
      </x:c>
      <x:c r="G77" s="14" t="str">
        <x:v>High</x:v>
      </x:c>
      <x:c r="H77" s="14" t="str"/>
      <x:c r="I77" s="16" t="str"/>
      <x:c r="J77" s="16" t="str"/>
      <x:c r="K77" s="14" t="str"/>
      <x:c r="L77" s="14" t="str">
        <x:v>Not Started</x:v>
      </x:c>
      <x:c r="M77" s="16" t="str"/>
      <x:c r="N77" s="14" t="str">
        <x:v>ARCS-25012-ARC-SPC-09900 Rev 2</x:v>
      </x:c>
      <x:c r="O77" s="14" t="str">
        <x:v>0520 – 2.1 GENERAL / Samples</x:v>
      </x:c>
      <x:c r="P77" s="14" t="n">
        <x:v>277</x:v>
      </x:c>
      <x:c r="Q77" s="14" t="str">
        <x:v>ARCS-25012-ARC-SPC-09900 Rev 2 | 0520 – 2.1 GENERAL / Samples | PDF p.277</x:v>
      </x:c>
      <x:c r="R77" s="14" t="str">
        <x:v>Demountable partitions: For each partition type, provide samples of the following:</x:v>
      </x:c>
      <x:c r="S77" s="14" t="str"/>
      <x:c r="T77" s="14" t="str"/>
    </x:row>
    <x:row r="78">
      <x:c r="A78" s="12" t="str">
        <x:v>SMP-077</x:v>
      </x:c>
      <x:c r="B78" s="12" t="str">
        <x:v>Architectural</x:v>
      </x:c>
      <x:c r="C78" s="12" t="str">
        <x:v>Partitions</x:v>
      </x:c>
      <x:c r="D78" s="14" t="str">
        <x:v>Partition component – doors / door hardware</x:v>
      </x:c>
      <x:c r="E78" s="14" t="str">
        <x:v>Samples.</x:v>
      </x:c>
      <x:c r="F78" s="14" t="str">
        <x:v>Mandatory where applicable</x:v>
      </x:c>
      <x:c r="G78" s="14" t="str">
        <x:v>High</x:v>
      </x:c>
      <x:c r="H78" s="14" t="str"/>
      <x:c r="I78" s="16" t="str"/>
      <x:c r="J78" s="16" t="str"/>
      <x:c r="K78" s="14" t="str"/>
      <x:c r="L78" s="14" t="str">
        <x:v>Not Started</x:v>
      </x:c>
      <x:c r="M78" s="16" t="str"/>
      <x:c r="N78" s="14" t="str">
        <x:v>ARCS-25012-ARC-SPC-09900 Rev 2</x:v>
      </x:c>
      <x:c r="O78" s="14" t="str">
        <x:v>0520 – 2.1 GENERAL / Samples</x:v>
      </x:c>
      <x:c r="P78" s="14" t="n">
        <x:v>277</x:v>
      </x:c>
      <x:c r="Q78" s="14" t="str">
        <x:v>ARCS-25012-ARC-SPC-09900 Rev 2 | 0520 – 2.1 GENERAL / Samples | PDF p.277</x:v>
      </x:c>
      <x:c r="R78" s="14" t="str">
        <x:v>Demountable partitions: For each partition type, provide samples of the following:</x:v>
      </x:c>
      <x:c r="S78" s="14" t="str"/>
      <x:c r="T78" s="14" t="str"/>
    </x:row>
    <x:row r="79">
      <x:c r="A79" s="12" t="str">
        <x:v>SMP-078</x:v>
      </x:c>
      <x:c r="B79" s="12" t="str">
        <x:v>Architectural</x:v>
      </x:c>
      <x:c r="C79" s="12" t="str">
        <x:v>Partitions</x:v>
      </x:c>
      <x:c r="D79" s="14" t="str">
        <x:v>Partition component – prefinished panel</x:v>
      </x:c>
      <x:c r="E79" s="14" t="str">
        <x:v>Each finish; 300 x 600 mm with trim.</x:v>
      </x:c>
      <x:c r="F79" s="14" t="str">
        <x:v>Mandatory where applicable</x:v>
      </x:c>
      <x:c r="G79" s="14" t="str">
        <x:v>High</x:v>
      </x:c>
      <x:c r="H79" s="14" t="str"/>
      <x:c r="I79" s="16" t="str"/>
      <x:c r="J79" s="16" t="str"/>
      <x:c r="K79" s="14" t="str"/>
      <x:c r="L79" s="14" t="str">
        <x:v>Not Started</x:v>
      </x:c>
      <x:c r="M79" s="16" t="str"/>
      <x:c r="N79" s="14" t="str">
        <x:v>ARCS-25012-ARC-SPC-09900 Rev 2</x:v>
      </x:c>
      <x:c r="O79" s="14" t="str">
        <x:v>0520 – 2.1 GENERAL / Samples</x:v>
      </x:c>
      <x:c r="P79" s="14" t="n">
        <x:v>277</x:v>
      </x:c>
      <x:c r="Q79" s="14" t="str">
        <x:v>ARCS-25012-ARC-SPC-09900 Rev 2 | 0520 – 2.1 GENERAL / Samples | PDF p.277</x:v>
      </x:c>
      <x:c r="R79" s="14" t="str">
        <x:v>Demountable partitions: For each partition type, provide samples of the following:</x:v>
      </x:c>
      <x:c r="S79" s="14" t="str"/>
      <x:c r="T79" s="14" t="str"/>
    </x:row>
    <x:row r="80">
      <x:c r="A80" s="12" t="str">
        <x:v>SMP-079</x:v>
      </x:c>
      <x:c r="B80" s="12" t="str">
        <x:v>Architectural</x:v>
      </x:c>
      <x:c r="C80" s="12" t="str">
        <x:v>Partitions</x:v>
      </x:c>
      <x:c r="D80" s="14" t="str">
        <x:v>Partition component – skirting / ducted skirting components</x:v>
      </x:c>
      <x:c r="E80" s="14" t="str">
        <x:v>Min 100 mm.</x:v>
      </x:c>
      <x:c r="F80" s="14" t="str">
        <x:v>Mandatory where applicable</x:v>
      </x:c>
      <x:c r="G80" s="14" t="str">
        <x:v>High</x:v>
      </x:c>
      <x:c r="H80" s="14" t="str"/>
      <x:c r="I80" s="16" t="str"/>
      <x:c r="J80" s="16" t="str"/>
      <x:c r="K80" s="14" t="str"/>
      <x:c r="L80" s="14" t="str">
        <x:v>Not Started</x:v>
      </x:c>
      <x:c r="M80" s="16" t="str"/>
      <x:c r="N80" s="14" t="str">
        <x:v>ARCS-25012-ARC-SPC-09900 Rev 2</x:v>
      </x:c>
      <x:c r="O80" s="14" t="str">
        <x:v>0520 – 2.1 GENERAL / Samples</x:v>
      </x:c>
      <x:c r="P80" s="14" t="n">
        <x:v>277</x:v>
      </x:c>
      <x:c r="Q80" s="14" t="str">
        <x:v>ARCS-25012-ARC-SPC-09900 Rev 2 | 0520 – 2.1 GENERAL / Samples | PDF p.277</x:v>
      </x:c>
      <x:c r="R80" s="14" t="str">
        <x:v>Demountable partitions: For each partition type, provide samples of the following:</x:v>
      </x:c>
      <x:c r="S80" s="14" t="str"/>
      <x:c r="T80" s="14" t="str"/>
    </x:row>
    <x:row r="81">
      <x:c r="A81" s="12" t="str">
        <x:v>SMP-080</x:v>
      </x:c>
      <x:c r="B81" s="12" t="str">
        <x:v>Architectural</x:v>
      </x:c>
      <x:c r="C81" s="12" t="str">
        <x:v>Partitions</x:v>
      </x:c>
      <x:c r="D81" s="14" t="str">
        <x:v>Partition cover strip / door frame / ceiling channel / bead / exposed component</x:v>
      </x:c>
      <x:c r="E81" s="14" t="str">
        <x:v>Each type; selected finish/colour; min 100 mm long.</x:v>
      </x:c>
      <x:c r="F81" s="14" t="str">
        <x:v>Mandatory where applicable</x:v>
      </x:c>
      <x:c r="G81" s="14" t="str">
        <x:v>High</x:v>
      </x:c>
      <x:c r="H81" s="14" t="str"/>
      <x:c r="I81" s="16" t="str"/>
      <x:c r="J81" s="16" t="str"/>
      <x:c r="K81" s="14" t="str"/>
      <x:c r="L81" s="14" t="str">
        <x:v>Not Started</x:v>
      </x:c>
      <x:c r="M81" s="16" t="str"/>
      <x:c r="N81" s="14" t="str">
        <x:v>ARCS-25012-ARC-SPC-09900 Rev 2</x:v>
      </x:c>
      <x:c r="O81" s="14" t="str">
        <x:v>0520 – 2.1 GENERAL / Samples</x:v>
      </x:c>
      <x:c r="P81" s="14" t="n">
        <x:v>277</x:v>
      </x:c>
      <x:c r="Q81" s="14" t="str">
        <x:v>ARCS-25012-ARC-SPC-09900 Rev 2 | 0520 – 2.1 GENERAL / Samples | PDF p.277</x:v>
      </x:c>
      <x:c r="R81" s="14" t="str">
        <x:v>Demountable partitions: For each partition type, provide samples of the following:</x:v>
      </x:c>
      <x:c r="S81" s="14" t="str"/>
      <x:c r="T81" s="14" t="str"/>
    </x:row>
    <x:row r="82">
      <x:c r="A82" s="12" t="str">
        <x:v>SMP-081</x:v>
      </x:c>
      <x:c r="B82" s="12" t="str">
        <x:v>Architectural</x:v>
      </x:c>
      <x:c r="C82" s="12" t="str">
        <x:v>Partitions</x:v>
      </x:c>
      <x:c r="D82" s="14" t="str">
        <x:v>Partition floor / ceiling fixings</x:v>
      </x:c>
      <x:c r="E82" s="14" t="str">
        <x:v>Fixings and adjustments.</x:v>
      </x:c>
      <x:c r="F82" s="14" t="str">
        <x:v>Mandatory where applicable</x:v>
      </x:c>
      <x:c r="G82" s="14" t="str">
        <x:v>High</x:v>
      </x:c>
      <x:c r="H82" s="14" t="str"/>
      <x:c r="I82" s="16" t="str"/>
      <x:c r="J82" s="16" t="str"/>
      <x:c r="K82" s="14" t="str"/>
      <x:c r="L82" s="14" t="str">
        <x:v>Not Started</x:v>
      </x:c>
      <x:c r="M82" s="16" t="str"/>
      <x:c r="N82" s="14" t="str">
        <x:v>ARCS-25012-ARC-SPC-09900 Rev 2</x:v>
      </x:c>
      <x:c r="O82" s="14" t="str">
        <x:v>0520 – 2.1 GENERAL / Samples</x:v>
      </x:c>
      <x:c r="P82" s="14" t="n">
        <x:v>277</x:v>
      </x:c>
      <x:c r="Q82" s="14" t="str">
        <x:v>ARCS-25012-ARC-SPC-09900 Rev 2 | 0520 – 2.1 GENERAL / Samples | PDF p.277</x:v>
      </x:c>
      <x:c r="R82" s="14" t="str">
        <x:v>Demountable partitions: For each partition type, provide samples of the following:</x:v>
      </x:c>
      <x:c r="S82" s="14" t="str"/>
      <x:c r="T82" s="14" t="str"/>
    </x:row>
    <x:row r="83">
      <x:c r="A83" s="12" t="str">
        <x:v>SMP-082</x:v>
      </x:c>
      <x:c r="B83" s="12" t="str">
        <x:v>Architectural</x:v>
      </x:c>
      <x:c r="C83" s="12" t="str">
        <x:v>Partitions</x:v>
      </x:c>
      <x:c r="D83" s="14" t="str">
        <x:v>Partition gasket / seal</x:v>
      </x:c>
      <x:c r="E83" s="14" t="str">
        <x:v>Each type; min 200 mm long.</x:v>
      </x:c>
      <x:c r="F83" s="14" t="str">
        <x:v>Mandatory where applicable</x:v>
      </x:c>
      <x:c r="G83" s="14" t="str">
        <x:v>High</x:v>
      </x:c>
      <x:c r="H83" s="14" t="str"/>
      <x:c r="I83" s="16" t="str"/>
      <x:c r="J83" s="16" t="str"/>
      <x:c r="K83" s="14" t="str"/>
      <x:c r="L83" s="14" t="str">
        <x:v>Not Started</x:v>
      </x:c>
      <x:c r="M83" s="16" t="str"/>
      <x:c r="N83" s="14" t="str">
        <x:v>ARCS-25012-ARC-SPC-09900 Rev 2</x:v>
      </x:c>
      <x:c r="O83" s="14" t="str">
        <x:v>0520 – 2.1 GENERAL / Samples</x:v>
      </x:c>
      <x:c r="P83" s="14" t="n">
        <x:v>277</x:v>
      </x:c>
      <x:c r="Q83" s="14" t="str">
        <x:v>ARCS-25012-ARC-SPC-09900 Rev 2 | 0520 – 2.1 GENERAL / Samples | PDF p.277</x:v>
      </x:c>
      <x:c r="R83" s="14" t="str">
        <x:v>Demountable partitions: For each partition type, provide samples of the following:</x:v>
      </x:c>
      <x:c r="S83" s="14" t="str"/>
      <x:c r="T83" s="14" t="str"/>
    </x:row>
    <x:row r="84">
      <x:c r="A84" s="12" t="str">
        <x:v>SMP-083</x:v>
      </x:c>
      <x:c r="B84" s="12" t="str">
        <x:v>Architectural</x:v>
      </x:c>
      <x:c r="C84" s="12" t="str">
        <x:v>Partitions</x:v>
      </x:c>
      <x:c r="D84" s="14" t="str">
        <x:v>Partition glass</x:v>
      </x:c>
      <x:c r="E84" s="14" t="str">
        <x:v>Each type; min 100 x 100 mm.</x:v>
      </x:c>
      <x:c r="F84" s="14" t="str">
        <x:v>Mandatory where applicable</x:v>
      </x:c>
      <x:c r="G84" s="14" t="str">
        <x:v>High</x:v>
      </x:c>
      <x:c r="H84" s="14" t="str"/>
      <x:c r="I84" s="16" t="str"/>
      <x:c r="J84" s="16" t="str"/>
      <x:c r="K84" s="14" t="str"/>
      <x:c r="L84" s="14" t="str">
        <x:v>Not Started</x:v>
      </x:c>
      <x:c r="M84" s="16" t="str"/>
      <x:c r="N84" s="14" t="str">
        <x:v>ARCS-25012-ARC-SPC-09900 Rev 2</x:v>
      </x:c>
      <x:c r="O84" s="14" t="str">
        <x:v>0520 – 2.1 GENERAL / Samples</x:v>
      </x:c>
      <x:c r="P84" s="14" t="n">
        <x:v>277</x:v>
      </x:c>
      <x:c r="Q84" s="14" t="str">
        <x:v>ARCS-25012-ARC-SPC-09900 Rev 2 | 0520 – 2.1 GENERAL / Samples | PDF p.277</x:v>
      </x:c>
      <x:c r="R84" s="14" t="str">
        <x:v>Demountable partitions: For each partition type, provide samples of the following:</x:v>
      </x:c>
      <x:c r="S84" s="14" t="str"/>
      <x:c r="T84" s="14" t="str"/>
    </x:row>
    <x:row r="85">
      <x:c r="A85" s="12" t="str">
        <x:v>SMP-084</x:v>
      </x:c>
      <x:c r="B85" s="12" t="str">
        <x:v>Architectural</x:v>
      </x:c>
      <x:c r="C85" s="12" t="str">
        <x:v>Partitions</x:v>
      </x:c>
      <x:c r="D85" s="14" t="str">
        <x:v>Partition glazing – ceramic-coated</x:v>
      </x:c>
      <x:c r="E85" s="14" t="str">
        <x:v>At least 200 x 200 mm.</x:v>
      </x:c>
      <x:c r="F85" s="14" t="str">
        <x:v>Mandatory where applicable</x:v>
      </x:c>
      <x:c r="G85" s="14" t="str">
        <x:v>High</x:v>
      </x:c>
      <x:c r="H85" s="14" t="str"/>
      <x:c r="I85" s="16" t="str"/>
      <x:c r="J85" s="16" t="str"/>
      <x:c r="K85" s="14" t="str"/>
      <x:c r="L85" s="14" t="str">
        <x:v>Not Started</x:v>
      </x:c>
      <x:c r="M85" s="16" t="str"/>
      <x:c r="N85" s="14" t="str">
        <x:v>ARCS-25012-ARC-SPC-09900 Rev 2</x:v>
      </x:c>
      <x:c r="O85" s="14" t="str">
        <x:v>0520 – 2.1 GENERAL / Samples</x:v>
      </x:c>
      <x:c r="P85" s="14" t="n">
        <x:v>277</x:v>
      </x:c>
      <x:c r="Q85" s="14" t="str">
        <x:v>ARCS-25012-ARC-SPC-09900 Rev 2 | 0520 – 2.1 GENERAL / Samples | PDF p.277</x:v>
      </x:c>
      <x:c r="R85" s="14" t="str">
        <x:v>Demountable partitions: For each partition type, provide samples of the following:</x:v>
      </x:c>
      <x:c r="S85" s="14" t="str"/>
      <x:c r="T85" s="14" t="str"/>
    </x:row>
    <x:row r="86">
      <x:c r="A86" s="12" t="str">
        <x:v>SMP-085</x:v>
      </x:c>
      <x:c r="B86" s="12" t="str">
        <x:v>Architectural</x:v>
      </x:c>
      <x:c r="C86" s="12" t="str">
        <x:v>Partitions</x:v>
      </x:c>
      <x:c r="D86" s="14" t="str">
        <x:v>Partition glazing – mirrored</x:v>
      </x:c>
      <x:c r="E86" s="14" t="str">
        <x:v>At least 200 x 200 mm.</x:v>
      </x:c>
      <x:c r="F86" s="14" t="str">
        <x:v>Mandatory where applicable</x:v>
      </x:c>
      <x:c r="G86" s="14" t="str">
        <x:v>High</x:v>
      </x:c>
      <x:c r="H86" s="14" t="str"/>
      <x:c r="I86" s="16" t="str"/>
      <x:c r="J86" s="16" t="str"/>
      <x:c r="K86" s="14" t="str"/>
      <x:c r="L86" s="14" t="str">
        <x:v>Not Started</x:v>
      </x:c>
      <x:c r="M86" s="16" t="str"/>
      <x:c r="N86" s="14" t="str">
        <x:v>ARCS-25012-ARC-SPC-09900 Rev 2</x:v>
      </x:c>
      <x:c r="O86" s="14" t="str">
        <x:v>0520 – 2.1 GENERAL / Samples</x:v>
      </x:c>
      <x:c r="P86" s="14" t="n">
        <x:v>277</x:v>
      </x:c>
      <x:c r="Q86" s="14" t="str">
        <x:v>ARCS-25012-ARC-SPC-09900 Rev 2 | 0520 – 2.1 GENERAL / Samples | PDF p.277</x:v>
      </x:c>
      <x:c r="R86" s="14" t="str">
        <x:v>Demountable partitions: For each partition type, provide samples of the following:</x:v>
      </x:c>
      <x:c r="S86" s="14" t="str"/>
      <x:c r="T86" s="14" t="str"/>
    </x:row>
    <x:row r="87">
      <x:c r="A87" s="12" t="str">
        <x:v>SMP-086</x:v>
      </x:c>
      <x:c r="B87" s="12" t="str">
        <x:v>Architectural</x:v>
      </x:c>
      <x:c r="C87" s="12" t="str">
        <x:v>Partitions</x:v>
      </x:c>
      <x:c r="D87" s="14" t="str">
        <x:v>Partition glazing – patterned / obscured</x:v>
      </x:c>
      <x:c r="E87" s="14" t="str">
        <x:v>At least 200 x 200 mm.</x:v>
      </x:c>
      <x:c r="F87" s="14" t="str">
        <x:v>Mandatory where applicable</x:v>
      </x:c>
      <x:c r="G87" s="14" t="str">
        <x:v>High</x:v>
      </x:c>
      <x:c r="H87" s="14" t="str"/>
      <x:c r="I87" s="16" t="str"/>
      <x:c r="J87" s="16" t="str"/>
      <x:c r="K87" s="14" t="str"/>
      <x:c r="L87" s="14" t="str">
        <x:v>Not Started</x:v>
      </x:c>
      <x:c r="M87" s="16" t="str"/>
      <x:c r="N87" s="14" t="str">
        <x:v>ARCS-25012-ARC-SPC-09900 Rev 2</x:v>
      </x:c>
      <x:c r="O87" s="14" t="str">
        <x:v>0520 – 2.1 GENERAL / Samples</x:v>
      </x:c>
      <x:c r="P87" s="14" t="n">
        <x:v>277</x:v>
      </x:c>
      <x:c r="Q87" s="14" t="str">
        <x:v>ARCS-25012-ARC-SPC-09900 Rev 2 | 0520 – 2.1 GENERAL / Samples | PDF p.277</x:v>
      </x:c>
      <x:c r="R87" s="14" t="str">
        <x:v>Demountable partitions: For each partition type, provide samples of the following:</x:v>
      </x:c>
      <x:c r="S87" s="14" t="str"/>
      <x:c r="T87" s="14" t="str"/>
    </x:row>
    <x:row r="88">
      <x:c r="A88" s="12" t="str">
        <x:v>SMP-087</x:v>
      </x:c>
      <x:c r="B88" s="12" t="str">
        <x:v>Architectural</x:v>
      </x:c>
      <x:c r="C88" s="12" t="str">
        <x:v>Partitions</x:v>
      </x:c>
      <x:c r="D88" s="14" t="str">
        <x:v>Partition glazing – surface modified / coated</x:v>
      </x:c>
      <x:c r="E88" s="14" t="str">
        <x:v>At least 200 x 200 mm.</x:v>
      </x:c>
      <x:c r="F88" s="14" t="str">
        <x:v>Mandatory where applicable</x:v>
      </x:c>
      <x:c r="G88" s="14" t="str">
        <x:v>High</x:v>
      </x:c>
      <x:c r="H88" s="14" t="str"/>
      <x:c r="I88" s="16" t="str"/>
      <x:c r="J88" s="16" t="str"/>
      <x:c r="K88" s="14" t="str"/>
      <x:c r="L88" s="14" t="str">
        <x:v>Not Started</x:v>
      </x:c>
      <x:c r="M88" s="16" t="str"/>
      <x:c r="N88" s="14" t="str">
        <x:v>ARCS-25012-ARC-SPC-09900 Rev 2</x:v>
      </x:c>
      <x:c r="O88" s="14" t="str">
        <x:v>0520 – 2.1 GENERAL / Samples</x:v>
      </x:c>
      <x:c r="P88" s="14" t="n">
        <x:v>277</x:v>
      </x:c>
      <x:c r="Q88" s="14" t="str">
        <x:v>ARCS-25012-ARC-SPC-09900 Rev 2 | 0520 – 2.1 GENERAL / Samples | PDF p.277</x:v>
      </x:c>
      <x:c r="R88" s="14" t="str">
        <x:v>Demountable partitions: For each partition type, provide samples of the following:</x:v>
      </x:c>
      <x:c r="S88" s="14" t="str"/>
      <x:c r="T88" s="14" t="str"/>
    </x:row>
    <x:row r="89">
      <x:c r="A89" s="12" t="str">
        <x:v>SMP-088</x:v>
      </x:c>
      <x:c r="B89" s="12" t="str">
        <x:v>Architectural</x:v>
      </x:c>
      <x:c r="C89" s="12" t="str">
        <x:v>Partitions</x:v>
      </x:c>
      <x:c r="D89" s="14" t="str">
        <x:v>Partition glazing – tinted / coloured</x:v>
      </x:c>
      <x:c r="E89" s="14" t="str">
        <x:v>At least 200 x 200 mm.</x:v>
      </x:c>
      <x:c r="F89" s="14" t="str">
        <x:v>Mandatory where applicable</x:v>
      </x:c>
      <x:c r="G89" s="14" t="str">
        <x:v>High</x:v>
      </x:c>
      <x:c r="H89" s="14" t="str"/>
      <x:c r="I89" s="16" t="str"/>
      <x:c r="J89" s="16" t="str"/>
      <x:c r="K89" s="14" t="str"/>
      <x:c r="L89" s="14" t="str">
        <x:v>Not Started</x:v>
      </x:c>
      <x:c r="M89" s="16" t="str"/>
      <x:c r="N89" s="14" t="str">
        <x:v>ARCS-25012-ARC-SPC-09900 Rev 2</x:v>
      </x:c>
      <x:c r="O89" s="14" t="str">
        <x:v>0520 – 2.1 GENERAL / Samples</x:v>
      </x:c>
      <x:c r="P89" s="14" t="n">
        <x:v>277</x:v>
      </x:c>
      <x:c r="Q89" s="14" t="str">
        <x:v>ARCS-25012-ARC-SPC-09900 Rev 2 | 0520 – 2.1 GENERAL / Samples | PDF p.277</x:v>
      </x:c>
      <x:c r="R89" s="14" t="str">
        <x:v>Demountable partitions: For each partition type, provide samples of the following:</x:v>
      </x:c>
      <x:c r="S89" s="14" t="str"/>
      <x:c r="T89" s="14" t="str"/>
    </x:row>
    <x:row r="90">
      <x:c r="A90" s="12" t="str">
        <x:v>SMP-089</x:v>
      </x:c>
      <x:c r="B90" s="12" t="str">
        <x:v>Architectural</x:v>
      </x:c>
      <x:c r="C90" s="12" t="str">
        <x:v>Partitions</x:v>
      </x:c>
      <x:c r="D90" s="14" t="str">
        <x:v>Partition panel type</x:v>
      </x:c>
      <x:c r="E90" s="14" t="str">
        <x:v>Each type; selected finish/colour; min 300 x 300 mm.</x:v>
      </x:c>
      <x:c r="F90" s="14" t="str">
        <x:v>Mandatory where applicable</x:v>
      </x:c>
      <x:c r="G90" s="14" t="str">
        <x:v>High</x:v>
      </x:c>
      <x:c r="H90" s="14" t="str"/>
      <x:c r="I90" s="16" t="str"/>
      <x:c r="J90" s="16" t="str"/>
      <x:c r="K90" s="14" t="str"/>
      <x:c r="L90" s="14" t="str">
        <x:v>Not Started</x:v>
      </x:c>
      <x:c r="M90" s="16" t="str"/>
      <x:c r="N90" s="14" t="str">
        <x:v>ARCS-25012-ARC-SPC-09900 Rev 2</x:v>
      </x:c>
      <x:c r="O90" s="14" t="str">
        <x:v>0520 – 2.1 GENERAL / Samples</x:v>
      </x:c>
      <x:c r="P90" s="14" t="n">
        <x:v>277</x:v>
      </x:c>
      <x:c r="Q90" s="14" t="str">
        <x:v>ARCS-25012-ARC-SPC-09900 Rev 2 | 0520 – 2.1 GENERAL / Samples | PDF p.277</x:v>
      </x:c>
      <x:c r="R90" s="14" t="str">
        <x:v>Demountable partitions: For each partition type, provide samples of the following:</x:v>
      </x:c>
      <x:c r="S90" s="14" t="str"/>
      <x:c r="T90" s="14" t="str"/>
    </x:row>
    <x:row r="91">
      <x:c r="A91" s="12" t="str">
        <x:v>SMP-090</x:v>
      </x:c>
      <x:c r="B91" s="12" t="str">
        <x:v>Architectural</x:v>
      </x:c>
      <x:c r="C91" s="12" t="str">
        <x:v>Partitions</x:v>
      </x:c>
      <x:c r="D91" s="14" t="str">
        <x:v>Partition proprietary electrical devices / cover plates</x:v>
      </x:c>
      <x:c r="E91" s="14" t="str">
        <x:v>Where included in proprietary system.</x:v>
      </x:c>
      <x:c r="F91" s="14" t="str">
        <x:v>Mandatory where applicable</x:v>
      </x:c>
      <x:c r="G91" s="14" t="str">
        <x:v>High</x:v>
      </x:c>
      <x:c r="H91" s="14" t="str"/>
      <x:c r="I91" s="16" t="str"/>
      <x:c r="J91" s="16" t="str"/>
      <x:c r="K91" s="14" t="str"/>
      <x:c r="L91" s="14" t="str">
        <x:v>Not Started</x:v>
      </x:c>
      <x:c r="M91" s="16" t="str"/>
      <x:c r="N91" s="14" t="str">
        <x:v>ARCS-25012-ARC-SPC-09900 Rev 2</x:v>
      </x:c>
      <x:c r="O91" s="14" t="str">
        <x:v>0520 – 2.1 GENERAL / Samples</x:v>
      </x:c>
      <x:c r="P91" s="14" t="n">
        <x:v>277</x:v>
      </x:c>
      <x:c r="Q91" s="14" t="str">
        <x:v>ARCS-25012-ARC-SPC-09900 Rev 2 | 0520 – 2.1 GENERAL / Samples | PDF p.277</x:v>
      </x:c>
      <x:c r="R91" s="14" t="str">
        <x:v>Demountable partitions: For each partition type, provide samples of the following:</x:v>
      </x:c>
      <x:c r="S91" s="14" t="str"/>
      <x:c r="T91" s="14" t="str"/>
    </x:row>
    <x:row r="92">
      <x:c r="A92" s="12" t="str">
        <x:v>SMP-091</x:v>
      </x:c>
      <x:c r="B92" s="12" t="str">
        <x:v>Architectural</x:v>
      </x:c>
      <x:c r="C92" s="12" t="str">
        <x:v>Partitions</x:v>
      </x:c>
      <x:c r="D92" s="14" t="str">
        <x:v>Partition sealant</x:v>
      </x:c>
      <x:c r="E92" s="14" t="str">
        <x:v>One of EACH type and colour.</x:v>
      </x:c>
      <x:c r="F92" s="14" t="str">
        <x:v>Mandatory where applicable</x:v>
      </x:c>
      <x:c r="G92" s="14" t="str">
        <x:v>High</x:v>
      </x:c>
      <x:c r="H92" s="14" t="str"/>
      <x:c r="I92" s="16" t="str"/>
      <x:c r="J92" s="16" t="str"/>
      <x:c r="K92" s="14" t="str"/>
      <x:c r="L92" s="14" t="str">
        <x:v>Not Started</x:v>
      </x:c>
      <x:c r="M92" s="16" t="str"/>
      <x:c r="N92" s="14" t="str">
        <x:v>ARCS-25012-ARC-SPC-09900 Rev 2</x:v>
      </x:c>
      <x:c r="O92" s="14" t="str">
        <x:v>0520 – 2.1 GENERAL / Samples</x:v>
      </x:c>
      <x:c r="P92" s="14" t="n">
        <x:v>277</x:v>
      </x:c>
      <x:c r="Q92" s="14" t="str">
        <x:v>ARCS-25012-ARC-SPC-09900 Rev 2 | 0520 – 2.1 GENERAL / Samples | PDF p.277</x:v>
      </x:c>
      <x:c r="R92" s="14" t="str">
        <x:v>Demountable partitions: For each partition type, provide samples of the following:</x:v>
      </x:c>
      <x:c r="S92" s="14" t="str"/>
      <x:c r="T92" s="14" t="str"/>
    </x:row>
    <x:row r="93">
      <x:c r="A93" s="12" t="str">
        <x:v>SMP-092</x:v>
      </x:c>
      <x:c r="B93" s="12" t="str">
        <x:v>Architectural</x:v>
      </x:c>
      <x:c r="C93" s="12" t="str">
        <x:v>Partitions</x:v>
      </x:c>
      <x:c r="D93" s="14" t="str">
        <x:v>Partition skirting / ducted skirting / ends / returns / removable covers</x:v>
      </x:c>
      <x:c r="E93" s="14" t="str">
        <x:v>Min 100 mm long.</x:v>
      </x:c>
      <x:c r="F93" s="14" t="str">
        <x:v>Mandatory where applicable</x:v>
      </x:c>
      <x:c r="G93" s="14" t="str">
        <x:v>High</x:v>
      </x:c>
      <x:c r="H93" s="14" t="str"/>
      <x:c r="I93" s="16" t="str"/>
      <x:c r="J93" s="16" t="str"/>
      <x:c r="K93" s="14" t="str"/>
      <x:c r="L93" s="14" t="str">
        <x:v>Not Started</x:v>
      </x:c>
      <x:c r="M93" s="16" t="str"/>
      <x:c r="N93" s="14" t="str">
        <x:v>ARCS-25012-ARC-SPC-09900 Rev 2</x:v>
      </x:c>
      <x:c r="O93" s="14" t="str">
        <x:v>0520 – 2.1 GENERAL / Samples</x:v>
      </x:c>
      <x:c r="P93" s="14" t="n">
        <x:v>277</x:v>
      </x:c>
      <x:c r="Q93" s="14" t="str">
        <x:v>ARCS-25012-ARC-SPC-09900 Rev 2 | 0520 – 2.1 GENERAL / Samples | PDF p.277</x:v>
      </x:c>
      <x:c r="R93" s="14" t="str">
        <x:v>Demountable partitions: For each partition type, provide samples of the following:</x:v>
      </x:c>
      <x:c r="S93" s="14" t="str"/>
      <x:c r="T93" s="14" t="str"/>
    </x:row>
    <x:row r="94">
      <x:c r="A94" s="12" t="str">
        <x:v>SMP-093</x:v>
      </x:c>
      <x:c r="B94" s="12" t="str">
        <x:v>Architectural</x:v>
      </x:c>
      <x:c r="C94" s="12" t="str">
        <x:v>Partitions</x:v>
      </x:c>
      <x:c r="D94" s="14" t="str">
        <x:v>Partition timber veneer</x:v>
      </x:c>
      <x:c r="E94" s="14" t="str">
        <x:v>Each type; min 300 x 300 mm; show colour/grain/visible variation.</x:v>
      </x:c>
      <x:c r="F94" s="14" t="str">
        <x:v>Mandatory where applicable</x:v>
      </x:c>
      <x:c r="G94" s="14" t="str">
        <x:v>High</x:v>
      </x:c>
      <x:c r="H94" s="14" t="str"/>
      <x:c r="I94" s="16" t="str"/>
      <x:c r="J94" s="16" t="str"/>
      <x:c r="K94" s="14" t="str"/>
      <x:c r="L94" s="14" t="str">
        <x:v>Not Started</x:v>
      </x:c>
      <x:c r="M94" s="16" t="str"/>
      <x:c r="N94" s="14" t="str">
        <x:v>ARCS-25012-ARC-SPC-09900 Rev 2</x:v>
      </x:c>
      <x:c r="O94" s="14" t="str">
        <x:v>0520 – 2.1 GENERAL / Samples</x:v>
      </x:c>
      <x:c r="P94" s="14" t="n">
        <x:v>277</x:v>
      </x:c>
      <x:c r="Q94" s="14" t="str">
        <x:v>ARCS-25012-ARC-SPC-09900 Rev 2 | 0520 – 2.1 GENERAL / Samples | PDF p.277</x:v>
      </x:c>
      <x:c r="R94" s="14" t="str">
        <x:v>Demountable partitions: For each partition type, provide samples of the following:</x:v>
      </x:c>
      <x:c r="S94" s="14" t="str"/>
      <x:c r="T94" s="14" t="str"/>
    </x:row>
    <x:row r="95">
      <x:c r="A95" s="12" t="str">
        <x:v>SMP-094</x:v>
      </x:c>
      <x:c r="B95" s="12" t="str">
        <x:v>Architectural</x:v>
      </x:c>
      <x:c r="C95" s="12" t="str">
        <x:v>Powder coating</x:v>
      </x:c>
      <x:c r="D95" s="14" t="str">
        <x:v>Powder coating systems</x:v>
      </x:c>
      <x:c r="E95" s="14" t="str">
        <x:v>Each system on representative substrate; labelled; show preparation, colour, gloss, texture and physical properties.</x:v>
      </x:c>
      <x:c r="F95" s="14" t="str">
        <x:v>Mandatory</x:v>
      </x:c>
      <x:c r="G95" s="14" t="str">
        <x:v>High</x:v>
      </x:c>
      <x:c r="H95" s="14" t="str"/>
      <x:c r="I95" s="16" t="str"/>
      <x:c r="J95" s="16" t="str"/>
      <x:c r="K95" s="14" t="str"/>
      <x:c r="L95" s="14" t="str">
        <x:v>Not Started</x:v>
      </x:c>
      <x:c r="M95" s="16" t="str"/>
      <x:c r="N95" s="14" t="str">
        <x:v>ARCS-25012-ARC-SPC-09900 Rev 2</x:v>
      </x:c>
      <x:c r="O95" s="14" t="str">
        <x:v>0673 – 2.1 GENERAL / Samples</x:v>
      </x:c>
      <x:c r="P95" s="14" t="n">
        <x:v>431</x:v>
      </x:c>
      <x:c r="Q95" s="14" t="str">
        <x:v>ARCS-25012-ARC-SPC-09900 Rev 2 | 0673 – 2.1 GENERAL / Samples | PDF p.431</x:v>
      </x:c>
      <x:c r="R95" s="14" t="str">
        <x:v>Provide labelled samples of each coating system on representative substrates</x:v>
      </x:c>
      <x:c r="S95" s="14" t="str"/>
      <x:c r="T95" s="14" t="str"/>
    </x:row>
    <x:row r="96">
      <x:c r="A96" s="12" t="str">
        <x:v>SMP-095</x:v>
      </x:c>
      <x:c r="B96" s="12" t="str">
        <x:v>Architectural</x:v>
      </x:c>
      <x:c r="C96" s="12" t="str">
        <x:v>Resilient flooring</x:v>
      </x:c>
      <x:c r="D96" s="14" t="str">
        <x:v>Resilient linear accessories</x:v>
      </x:c>
      <x:c r="E96" s="14" t="str">
        <x:v>300 mm long; coving/skirting/stair nosing/protection strip. Label with brand, product name and manufacturer code.</x:v>
      </x:c>
      <x:c r="F96" s="14" t="str">
        <x:v>Mandatory</x:v>
      </x:c>
      <x:c r="G96" s="14" t="str">
        <x:v>High</x:v>
      </x:c>
      <x:c r="H96" s="14" t="str"/>
      <x:c r="I96" s="16" t="str"/>
      <x:c r="J96" s="16" t="str"/>
      <x:c r="K96" s="14" t="str"/>
      <x:c r="L96" s="14" t="str">
        <x:v>Not Started</x:v>
      </x:c>
      <x:c r="M96" s="16" t="str"/>
      <x:c r="N96" s="14" t="str">
        <x:v>ARCS-25012-ARC-SPC-09900 Rev 2</x:v>
      </x:c>
      <x:c r="O96" s="14" t="str">
        <x:v>0651 – 2.1 GENERAL / Samples</x:v>
      </x:c>
      <x:c r="P96" s="14" t="n">
        <x:v>400</x:v>
      </x:c>
      <x:c r="Q96" s="14" t="str">
        <x:v>ARCS-25012-ARC-SPC-09900 Rev 2 | 0651 – 2.1 GENERAL / Samples | PDF p.400</x:v>
      </x:c>
      <x:c r="R96" s="14" t="str">
        <x:v>Provide labelled samples of resilient finishes illustrating the range of colour, pattern or texture</x:v>
      </x:c>
      <x:c r="S96" s="14" t="str"/>
      <x:c r="T96" s="14" t="str"/>
    </x:row>
    <x:row r="97">
      <x:c r="A97" s="12" t="str">
        <x:v>SMP-096</x:v>
      </x:c>
      <x:c r="B97" s="12" t="str">
        <x:v>Architectural</x:v>
      </x:c>
      <x:c r="C97" s="12" t="str">
        <x:v>Resilient flooring</x:v>
      </x:c>
      <x:c r="D97" s="14" t="str">
        <x:v>Resilient plank</x:v>
      </x:c>
      <x:c r="E97" s="14" t="str">
        <x:v>Whole plank. Label with brand, product name and manufacturer code.</x:v>
      </x:c>
      <x:c r="F97" s="14" t="str">
        <x:v>Mandatory</x:v>
      </x:c>
      <x:c r="G97" s="14" t="str">
        <x:v>High</x:v>
      </x:c>
      <x:c r="H97" s="14" t="str"/>
      <x:c r="I97" s="16" t="str"/>
      <x:c r="J97" s="16" t="str"/>
      <x:c r="K97" s="14" t="str"/>
      <x:c r="L97" s="14" t="str">
        <x:v>Not Started</x:v>
      </x:c>
      <x:c r="M97" s="16" t="str"/>
      <x:c r="N97" s="14" t="str">
        <x:v>ARCS-25012-ARC-SPC-09900 Rev 2</x:v>
      </x:c>
      <x:c r="O97" s="14" t="str">
        <x:v>0651 – 2.1 GENERAL / Samples</x:v>
      </x:c>
      <x:c r="P97" s="14" t="n">
        <x:v>400</x:v>
      </x:c>
      <x:c r="Q97" s="14" t="str">
        <x:v>ARCS-25012-ARC-SPC-09900 Rev 2 | 0651 – 2.1 GENERAL / Samples | PDF p.400</x:v>
      </x:c>
      <x:c r="R97" s="14" t="str">
        <x:v>Provide labelled samples of resilient finishes illustrating the range of colour, pattern or texture</x:v>
      </x:c>
      <x:c r="S97" s="14" t="str"/>
      <x:c r="T97" s="14" t="str"/>
    </x:row>
    <x:row r="98">
      <x:c r="A98" s="12" t="str">
        <x:v>SMP-097</x:v>
      </x:c>
      <x:c r="B98" s="12" t="str">
        <x:v>Architectural</x:v>
      </x:c>
      <x:c r="C98" s="12" t="str">
        <x:v>Resilient flooring</x:v>
      </x:c>
      <x:c r="D98" s="14" t="str">
        <x:v>Resilient sheet</x:v>
      </x:c>
      <x:c r="E98" s="14" t="str">
        <x:v>450 x 450 mm. Label with brand, product name and manufacturer code.</x:v>
      </x:c>
      <x:c r="F98" s="14" t="str">
        <x:v>Mandatory</x:v>
      </x:c>
      <x:c r="G98" s="14" t="str">
        <x:v>High</x:v>
      </x:c>
      <x:c r="H98" s="14" t="str"/>
      <x:c r="I98" s="16" t="str"/>
      <x:c r="J98" s="16" t="str"/>
      <x:c r="K98" s="14" t="str"/>
      <x:c r="L98" s="14" t="str">
        <x:v>Not Started</x:v>
      </x:c>
      <x:c r="M98" s="16" t="str"/>
      <x:c r="N98" s="14" t="str">
        <x:v>ARCS-25012-ARC-SPC-09900 Rev 2</x:v>
      </x:c>
      <x:c r="O98" s="14" t="str">
        <x:v>0651 – 2.1 GENERAL / Samples</x:v>
      </x:c>
      <x:c r="P98" s="14" t="n">
        <x:v>400</x:v>
      </x:c>
      <x:c r="Q98" s="14" t="str">
        <x:v>ARCS-25012-ARC-SPC-09900 Rev 2 | 0651 – 2.1 GENERAL / Samples | PDF p.400</x:v>
      </x:c>
      <x:c r="R98" s="14" t="str">
        <x:v>Provide labelled samples of resilient finishes illustrating the range of colour, pattern or texture</x:v>
      </x:c>
      <x:c r="S98" s="14" t="str"/>
      <x:c r="T98" s="14" t="str"/>
    </x:row>
    <x:row r="99">
      <x:c r="A99" s="12" t="str">
        <x:v>SMP-098</x:v>
      </x:c>
      <x:c r="B99" s="12" t="str">
        <x:v>Architectural</x:v>
      </x:c>
      <x:c r="C99" s="12" t="str">
        <x:v>Resilient flooring</x:v>
      </x:c>
      <x:c r="D99" s="14" t="str">
        <x:v>Resilient tile</x:v>
      </x:c>
      <x:c r="E99" s="14" t="str">
        <x:v>Whole tile or 0.09 m², whichever greater. Label with brand, product name and manufacturer code.</x:v>
      </x:c>
      <x:c r="F99" s="14" t="str">
        <x:v>Mandatory</x:v>
      </x:c>
      <x:c r="G99" s="14" t="str">
        <x:v>High</x:v>
      </x:c>
      <x:c r="H99" s="14" t="str"/>
      <x:c r="I99" s="16" t="str"/>
      <x:c r="J99" s="16" t="str"/>
      <x:c r="K99" s="14" t="str"/>
      <x:c r="L99" s="14" t="str">
        <x:v>Not Started</x:v>
      </x:c>
      <x:c r="M99" s="16" t="str"/>
      <x:c r="N99" s="14" t="str">
        <x:v>ARCS-25012-ARC-SPC-09900 Rev 2</x:v>
      </x:c>
      <x:c r="O99" s="14" t="str">
        <x:v>0651 – 2.1 GENERAL / Samples</x:v>
      </x:c>
      <x:c r="P99" s="14" t="n">
        <x:v>400</x:v>
      </x:c>
      <x:c r="Q99" s="14" t="str">
        <x:v>ARCS-25012-ARC-SPC-09900 Rev 2 | 0651 – 2.1 GENERAL / Samples | PDF p.400</x:v>
      </x:c>
      <x:c r="R99" s="14" t="str">
        <x:v>Provide labelled samples of resilient finishes illustrating the range of colour, pattern or texture</x:v>
      </x:c>
      <x:c r="S99" s="14" t="str"/>
      <x:c r="T99" s="14" t="str"/>
    </x:row>
    <x:row r="100">
      <x:c r="A100" s="12" t="str">
        <x:v>SMP-099</x:v>
      </x:c>
      <x:c r="B100" s="12" t="str">
        <x:v>Architectural</x:v>
      </x:c>
      <x:c r="C100" s="12" t="str">
        <x:v>Resilient flooring</x:v>
      </x:c>
      <x:c r="D100" s="14" t="str">
        <x:v>Resilient welded joint</x:v>
      </x:c>
      <x:c r="E100" s="14" t="str">
        <x:v>300 mm long. Label with brand, product name and manufacturer code.</x:v>
      </x:c>
      <x:c r="F100" s="14" t="str">
        <x:v>Mandatory</x:v>
      </x:c>
      <x:c r="G100" s="14" t="str">
        <x:v>High</x:v>
      </x:c>
      <x:c r="H100" s="14" t="str"/>
      <x:c r="I100" s="16" t="str"/>
      <x:c r="J100" s="16" t="str"/>
      <x:c r="K100" s="14" t="str"/>
      <x:c r="L100" s="14" t="str">
        <x:v>Not Started</x:v>
      </x:c>
      <x:c r="M100" s="16" t="str"/>
      <x:c r="N100" s="14" t="str">
        <x:v>ARCS-25012-ARC-SPC-09900 Rev 2</x:v>
      </x:c>
      <x:c r="O100" s="14" t="str">
        <x:v>0651 – 2.1 GENERAL / Samples</x:v>
      </x:c>
      <x:c r="P100" s="14" t="n">
        <x:v>400</x:v>
      </x:c>
      <x:c r="Q100" s="14" t="str">
        <x:v>ARCS-25012-ARC-SPC-09900 Rev 2 | 0651 – 2.1 GENERAL / Samples | PDF p.400</x:v>
      </x:c>
      <x:c r="R100" s="14" t="str">
        <x:v>Provide labelled samples of resilient finishes illustrating the range of colour, pattern or texture</x:v>
      </x:c>
      <x:c r="S100" s="14" t="str"/>
      <x:c r="T100" s="14" t="str"/>
    </x:row>
    <x:row r="101">
      <x:c r="A101" s="12" t="str">
        <x:v>SMP-100</x:v>
      </x:c>
      <x:c r="B101" s="12" t="str">
        <x:v>Architectural</x:v>
      </x:c>
      <x:c r="C101" s="12" t="str">
        <x:v>Roofing</x:v>
      </x:c>
      <x:c r="D101" s="14" t="str">
        <x:v>Custom profiled flashings / cappings</x:v>
      </x:c>
      <x:c r="E101" s="14" t="str">
        <x:v>Show available variation.</x:v>
      </x:c>
      <x:c r="F101" s="14" t="str">
        <x:v>Mandatory if applicable to documented roofing type</x:v>
      </x:c>
      <x:c r="G101" s="14" t="str">
        <x:v>High</x:v>
      </x:c>
      <x:c r="H101" s="14" t="str"/>
      <x:c r="I101" s="16" t="str"/>
      <x:c r="J101" s="16" t="str"/>
      <x:c r="K101" s="14" t="str"/>
      <x:c r="L101" s="14" t="str">
        <x:v>Not Started</x:v>
      </x:c>
      <x:c r="M101" s="16" t="str"/>
      <x:c r="N101" s="14" t="str">
        <x:v>ARCS-25012-ARC-SPC-09900 Rev 2</x:v>
      </x:c>
      <x:c r="O101" s="14" t="str">
        <x:v>0420 – 2.1 GENERAL / Samples</x:v>
      </x:c>
      <x:c r="P101" s="14" t="n">
        <x:v>160</x:v>
      </x:c>
      <x:c r="Q101" s="14" t="str">
        <x:v>ARCS-25012-ARC-SPC-09900 Rev 2 | 0420 – 2.1 GENERAL / Samples | PDF p.160</x:v>
      </x:c>
      <x:c r="R101" s="14" t="str">
        <x:v>Requirement: Provide samples of the following, showing the range of variation available:</x:v>
      </x:c>
      <x:c r="S101" s="14" t="str"/>
      <x:c r="T101" s="14" t="str"/>
    </x:row>
    <x:row r="102">
      <x:c r="A102" s="12" t="str">
        <x:v>SMP-101</x:v>
      </x:c>
      <x:c r="B102" s="12" t="str">
        <x:v>Architectural</x:v>
      </x:c>
      <x:c r="C102" s="12" t="str">
        <x:v>Roofing</x:v>
      </x:c>
      <x:c r="D102" s="14" t="str">
        <x:v>Glazed roofing glazing material</x:v>
      </x:c>
      <x:c r="E102" s="14" t="str">
        <x:v>If applicable; at least 200 x 200 mm and show specified visual properties.</x:v>
      </x:c>
      <x:c r="F102" s="14" t="str">
        <x:v>Mandatory if applicable to documented roofing type</x:v>
      </x:c>
      <x:c r="G102" s="14" t="str">
        <x:v>High</x:v>
      </x:c>
      <x:c r="H102" s="14" t="str"/>
      <x:c r="I102" s="16" t="str"/>
      <x:c r="J102" s="16" t="str"/>
      <x:c r="K102" s="14" t="str"/>
      <x:c r="L102" s="14" t="str">
        <x:v>Not Started</x:v>
      </x:c>
      <x:c r="M102" s="16" t="str"/>
      <x:c r="N102" s="14" t="str">
        <x:v>ARCS-25012-ARC-SPC-09900 Rev 2</x:v>
      </x:c>
      <x:c r="O102" s="14" t="str">
        <x:v>0420 – 2.1 GENERAL / Samples</x:v>
      </x:c>
      <x:c r="P102" s="14" t="n">
        <x:v>160</x:v>
      </x:c>
      <x:c r="Q102" s="14" t="str">
        <x:v>ARCS-25012-ARC-SPC-09900 Rev 2 | 0420 – 2.1 GENERAL / Samples | PDF p.160</x:v>
      </x:c>
      <x:c r="R102" s="14" t="str">
        <x:v>Requirement: Provide samples of the following, showing the range of variation available:</x:v>
      </x:c>
      <x:c r="S102" s="14" t="str"/>
      <x:c r="T102" s="14" t="str"/>
    </x:row>
    <x:row r="103">
      <x:c r="A103" s="12" t="str">
        <x:v>SMP-102</x:v>
      </x:c>
      <x:c r="B103" s="12" t="str">
        <x:v>Architectural</x:v>
      </x:c>
      <x:c r="C103" s="12" t="str">
        <x:v>Roofing</x:v>
      </x:c>
      <x:c r="D103" s="14" t="str">
        <x:v>Glazed roofing sealant</x:v>
      </x:c>
      <x:c r="E103" s="14" t="str">
        <x:v>If applicable.</x:v>
      </x:c>
      <x:c r="F103" s="14" t="str">
        <x:v>Mandatory if applicable to documented roofing type</x:v>
      </x:c>
      <x:c r="G103" s="14" t="str">
        <x:v>High</x:v>
      </x:c>
      <x:c r="H103" s="14" t="str"/>
      <x:c r="I103" s="16" t="str"/>
      <x:c r="J103" s="16" t="str"/>
      <x:c r="K103" s="14" t="str"/>
      <x:c r="L103" s="14" t="str">
        <x:v>Not Started</x:v>
      </x:c>
      <x:c r="M103" s="16" t="str"/>
      <x:c r="N103" s="14" t="str">
        <x:v>ARCS-25012-ARC-SPC-09900 Rev 2</x:v>
      </x:c>
      <x:c r="O103" s="14" t="str">
        <x:v>0420 – 2.1 GENERAL / Samples</x:v>
      </x:c>
      <x:c r="P103" s="14" t="n">
        <x:v>160</x:v>
      </x:c>
      <x:c r="Q103" s="14" t="str">
        <x:v>ARCS-25012-ARC-SPC-09900 Rev 2 | 0420 – 2.1 GENERAL / Samples | PDF p.160</x:v>
      </x:c>
      <x:c r="R103" s="14" t="str">
        <x:v>Requirement: Provide samples of the following, showing the range of variation available:</x:v>
      </x:c>
      <x:c r="S103" s="14" t="str"/>
      <x:c r="T103" s="14" t="str"/>
    </x:row>
    <x:row r="104">
      <x:c r="A104" s="12" t="str">
        <x:v>SMP-103</x:v>
      </x:c>
      <x:c r="B104" s="12" t="str">
        <x:v>Architectural</x:v>
      </x:c>
      <x:c r="C104" s="12" t="str">
        <x:v>Roofing</x:v>
      </x:c>
      <x:c r="D104" s="14" t="str">
        <x:v>Insulated panel roofing metal finish</x:v>
      </x:c>
      <x:c r="E104" s="14" t="str">
        <x:v>If applicable; show available variation.</x:v>
      </x:c>
      <x:c r="F104" s="14" t="str">
        <x:v>Mandatory if applicable to documented roofing type</x:v>
      </x:c>
      <x:c r="G104" s="14" t="str">
        <x:v>High</x:v>
      </x:c>
      <x:c r="H104" s="14" t="str"/>
      <x:c r="I104" s="16" t="str"/>
      <x:c r="J104" s="16" t="str"/>
      <x:c r="K104" s="14" t="str"/>
      <x:c r="L104" s="14" t="str">
        <x:v>Not Started</x:v>
      </x:c>
      <x:c r="M104" s="16" t="str"/>
      <x:c r="N104" s="14" t="str">
        <x:v>ARCS-25012-ARC-SPC-09900 Rev 2</x:v>
      </x:c>
      <x:c r="O104" s="14" t="str">
        <x:v>0420 – 2.1 GENERAL / Samples</x:v>
      </x:c>
      <x:c r="P104" s="14" t="n">
        <x:v>160</x:v>
      </x:c>
      <x:c r="Q104" s="14" t="str">
        <x:v>ARCS-25012-ARC-SPC-09900 Rev 2 | 0420 – 2.1 GENERAL / Samples | PDF p.160</x:v>
      </x:c>
      <x:c r="R104" s="14" t="str">
        <x:v>Requirement: Provide samples of the following, showing the range of variation available:</x:v>
      </x:c>
      <x:c r="S104" s="14" t="str"/>
      <x:c r="T104" s="14" t="str"/>
    </x:row>
    <x:row r="105">
      <x:c r="A105" s="12" t="str">
        <x:v>SMP-104</x:v>
      </x:c>
      <x:c r="B105" s="12" t="str">
        <x:v>Architectural</x:v>
      </x:c>
      <x:c r="C105" s="12" t="str">
        <x:v>Roofing</x:v>
      </x:c>
      <x:c r="D105" s="14" t="str">
        <x:v>Insulated panel roofing sealant</x:v>
      </x:c>
      <x:c r="E105" s="14" t="str">
        <x:v>If applicable.</x:v>
      </x:c>
      <x:c r="F105" s="14" t="str">
        <x:v>Mandatory if applicable to documented roofing type</x:v>
      </x:c>
      <x:c r="G105" s="14" t="str">
        <x:v>High</x:v>
      </x:c>
      <x:c r="H105" s="14" t="str"/>
      <x:c r="I105" s="16" t="str"/>
      <x:c r="J105" s="16" t="str"/>
      <x:c r="K105" s="14" t="str"/>
      <x:c r="L105" s="14" t="str">
        <x:v>Not Started</x:v>
      </x:c>
      <x:c r="M105" s="16" t="str"/>
      <x:c r="N105" s="14" t="str">
        <x:v>ARCS-25012-ARC-SPC-09900 Rev 2</x:v>
      </x:c>
      <x:c r="O105" s="14" t="str">
        <x:v>0420 – 2.1 GENERAL / Samples</x:v>
      </x:c>
      <x:c r="P105" s="14" t="n">
        <x:v>160</x:v>
      </x:c>
      <x:c r="Q105" s="14" t="str">
        <x:v>ARCS-25012-ARC-SPC-09900 Rev 2 | 0420 – 2.1 GENERAL / Samples | PDF p.160</x:v>
      </x:c>
      <x:c r="R105" s="14" t="str">
        <x:v>Requirement: Provide samples of the following, showing the range of variation available:</x:v>
      </x:c>
      <x:c r="S105" s="14" t="str"/>
      <x:c r="T105" s="14" t="str"/>
    </x:row>
    <x:row r="106">
      <x:c r="A106" s="12" t="str">
        <x:v>SMP-105</x:v>
      </x:c>
      <x:c r="B106" s="12" t="str">
        <x:v>Architectural</x:v>
      </x:c>
      <x:c r="C106" s="12" t="str">
        <x:v>Roofing</x:v>
      </x:c>
      <x:c r="D106" s="14" t="str">
        <x:v>Pre-weathered sheet metal finish</x:v>
      </x:c>
      <x:c r="E106" s="14" t="str">
        <x:v>Show available variation.</x:v>
      </x:c>
      <x:c r="F106" s="14" t="str">
        <x:v>Mandatory if applicable to documented roofing type</x:v>
      </x:c>
      <x:c r="G106" s="14" t="str">
        <x:v>High</x:v>
      </x:c>
      <x:c r="H106" s="14" t="str"/>
      <x:c r="I106" s="16" t="str"/>
      <x:c r="J106" s="16" t="str"/>
      <x:c r="K106" s="14" t="str"/>
      <x:c r="L106" s="14" t="str">
        <x:v>Not Started</x:v>
      </x:c>
      <x:c r="M106" s="16" t="str"/>
      <x:c r="N106" s="14" t="str">
        <x:v>ARCS-25012-ARC-SPC-09900 Rev 2</x:v>
      </x:c>
      <x:c r="O106" s="14" t="str">
        <x:v>0420 – 2.1 GENERAL / Samples</x:v>
      </x:c>
      <x:c r="P106" s="14" t="n">
        <x:v>160</x:v>
      </x:c>
      <x:c r="Q106" s="14" t="str">
        <x:v>ARCS-25012-ARC-SPC-09900 Rev 2 | 0420 – 2.1 GENERAL / Samples | PDF p.160</x:v>
      </x:c>
      <x:c r="R106" s="14" t="str">
        <x:v>Requirement: Provide samples of the following, showing the range of variation available:</x:v>
      </x:c>
      <x:c r="S106" s="14" t="str"/>
      <x:c r="T106" s="14" t="str"/>
    </x:row>
    <x:row r="107">
      <x:c r="A107" s="12" t="str">
        <x:v>SMP-106</x:v>
      </x:c>
      <x:c r="B107" s="12" t="str">
        <x:v>Architectural</x:v>
      </x:c>
      <x:c r="C107" s="12" t="str">
        <x:v>Roofing</x:v>
      </x:c>
      <x:c r="D107" s="14" t="str">
        <x:v>Roof tiles</x:v>
      </x:c>
      <x:c r="E107" s="14" t="str">
        <x:v>If applicable.</x:v>
      </x:c>
      <x:c r="F107" s="14" t="str">
        <x:v>Mandatory if applicable to documented roofing type</x:v>
      </x:c>
      <x:c r="G107" s="14" t="str">
        <x:v>High</x:v>
      </x:c>
      <x:c r="H107" s="14" t="str"/>
      <x:c r="I107" s="16" t="str"/>
      <x:c r="J107" s="16" t="str"/>
      <x:c r="K107" s="14" t="str"/>
      <x:c r="L107" s="14" t="str">
        <x:v>Not Started</x:v>
      </x:c>
      <x:c r="M107" s="16" t="str"/>
      <x:c r="N107" s="14" t="str">
        <x:v>ARCS-25012-ARC-SPC-09900 Rev 2</x:v>
      </x:c>
      <x:c r="O107" s="14" t="str">
        <x:v>0420 – 2.1 GENERAL / Samples</x:v>
      </x:c>
      <x:c r="P107" s="14" t="n">
        <x:v>160</x:v>
      </x:c>
      <x:c r="Q107" s="14" t="str">
        <x:v>ARCS-25012-ARC-SPC-09900 Rev 2 | 0420 – 2.1 GENERAL / Samples | PDF p.160</x:v>
      </x:c>
      <x:c r="R107" s="14" t="str">
        <x:v>Requirement: Provide samples of the following, showing the range of variation available:</x:v>
      </x:c>
      <x:c r="S107" s="14" t="str"/>
      <x:c r="T107" s="14" t="str"/>
    </x:row>
    <x:row r="108">
      <x:c r="A108" s="12" t="str">
        <x:v>SMP-107</x:v>
      </x:c>
      <x:c r="B108" s="12" t="str">
        <x:v>Architectural</x:v>
      </x:c>
      <x:c r="C108" s="12" t="str">
        <x:v>Roofing</x:v>
      </x:c>
      <x:c r="D108" s="14" t="str">
        <x:v>Roof trim / accessories with colour finish</x:v>
      </x:c>
      <x:c r="E108" s="14" t="str">
        <x:v>Show available variation.</x:v>
      </x:c>
      <x:c r="F108" s="14" t="str">
        <x:v>Mandatory if applicable to documented roofing type</x:v>
      </x:c>
      <x:c r="G108" s="14" t="str">
        <x:v>High</x:v>
      </x:c>
      <x:c r="H108" s="14" t="str"/>
      <x:c r="I108" s="16" t="str"/>
      <x:c r="J108" s="16" t="str"/>
      <x:c r="K108" s="14" t="str"/>
      <x:c r="L108" s="14" t="str">
        <x:v>Not Started</x:v>
      </x:c>
      <x:c r="M108" s="16" t="str"/>
      <x:c r="N108" s="14" t="str">
        <x:v>ARCS-25012-ARC-SPC-09900 Rev 2</x:v>
      </x:c>
      <x:c r="O108" s="14" t="str">
        <x:v>0420 – 2.1 GENERAL / Samples</x:v>
      </x:c>
      <x:c r="P108" s="14" t="n">
        <x:v>160</x:v>
      </x:c>
      <x:c r="Q108" s="14" t="str">
        <x:v>ARCS-25012-ARC-SPC-09900 Rev 2 | 0420 – 2.1 GENERAL / Samples | PDF p.160</x:v>
      </x:c>
      <x:c r="R108" s="14" t="str">
        <x:v>Requirement: Provide samples of the following, showing the range of variation available:</x:v>
      </x:c>
      <x:c r="S108" s="14" t="str"/>
      <x:c r="T108" s="14" t="str"/>
    </x:row>
    <x:row r="109">
      <x:c r="A109" s="12" t="str">
        <x:v>SMP-108</x:v>
      </x:c>
      <x:c r="B109" s="12" t="str">
        <x:v>Architectural</x:v>
      </x:c>
      <x:c r="C109" s="12" t="str">
        <x:v>Roofing</x:v>
      </x:c>
      <x:c r="D109" s="14" t="str">
        <x:v>Sheet metal roofing finish</x:v>
      </x:c>
      <x:c r="E109" s="14" t="str">
        <x:v>Show available variation.</x:v>
      </x:c>
      <x:c r="F109" s="14" t="str">
        <x:v>Mandatory if applicable to documented roofing type</x:v>
      </x:c>
      <x:c r="G109" s="14" t="str">
        <x:v>High</x:v>
      </x:c>
      <x:c r="H109" s="14" t="str"/>
      <x:c r="I109" s="16" t="str"/>
      <x:c r="J109" s="16" t="str"/>
      <x:c r="K109" s="14" t="str"/>
      <x:c r="L109" s="14" t="str">
        <x:v>Not Started</x:v>
      </x:c>
      <x:c r="M109" s="16" t="str"/>
      <x:c r="N109" s="14" t="str">
        <x:v>ARCS-25012-ARC-SPC-09900 Rev 2</x:v>
      </x:c>
      <x:c r="O109" s="14" t="str">
        <x:v>0420 – 2.1 GENERAL / Samples</x:v>
      </x:c>
      <x:c r="P109" s="14" t="n">
        <x:v>160</x:v>
      </x:c>
      <x:c r="Q109" s="14" t="str">
        <x:v>ARCS-25012-ARC-SPC-09900 Rev 2 | 0420 – 2.1 GENERAL / Samples | PDF p.160</x:v>
      </x:c>
      <x:c r="R109" s="14" t="str">
        <x:v>Requirement: Provide samples of the following, showing the range of variation available:</x:v>
      </x:c>
      <x:c r="S109" s="14" t="str"/>
      <x:c r="T109" s="14" t="str"/>
    </x:row>
    <x:row r="110">
      <x:c r="A110" s="12" t="str">
        <x:v>SMP-109</x:v>
      </x:c>
      <x:c r="B110" s="12" t="str">
        <x:v>Architectural</x:v>
      </x:c>
      <x:c r="C110" s="12" t="str">
        <x:v>Roofing</x:v>
      </x:c>
      <x:c r="D110" s="14" t="str">
        <x:v>Sheet metal roofing sealant</x:v>
      </x:c>
      <x:c r="E110" s="14" t="str">
        <x:v>Show available variation.</x:v>
      </x:c>
      <x:c r="F110" s="14" t="str">
        <x:v>Mandatory if applicable to documented roofing type</x:v>
      </x:c>
      <x:c r="G110" s="14" t="str">
        <x:v>High</x:v>
      </x:c>
      <x:c r="H110" s="14" t="str"/>
      <x:c r="I110" s="16" t="str"/>
      <x:c r="J110" s="16" t="str"/>
      <x:c r="K110" s="14" t="str"/>
      <x:c r="L110" s="14" t="str">
        <x:v>Not Started</x:v>
      </x:c>
      <x:c r="M110" s="16" t="str"/>
      <x:c r="N110" s="14" t="str">
        <x:v>ARCS-25012-ARC-SPC-09900 Rev 2</x:v>
      </x:c>
      <x:c r="O110" s="14" t="str">
        <x:v>0420 – 2.1 GENERAL / Samples</x:v>
      </x:c>
      <x:c r="P110" s="14" t="n">
        <x:v>160</x:v>
      </x:c>
      <x:c r="Q110" s="14" t="str">
        <x:v>ARCS-25012-ARC-SPC-09900 Rev 2 | 0420 – 2.1 GENERAL / Samples | PDF p.160</x:v>
      </x:c>
      <x:c r="R110" s="14" t="str">
        <x:v>Requirement: Provide samples of the following, showing the range of variation available:</x:v>
      </x:c>
      <x:c r="S110" s="14" t="str"/>
      <x:c r="T110" s="14" t="str"/>
    </x:row>
    <x:row r="111">
      <x:c r="A111" s="12" t="str">
        <x:v>SMP-110</x:v>
      </x:c>
      <x:c r="B111" s="12" t="str">
        <x:v>Architectural</x:v>
      </x:c>
      <x:c r="C111" s="12" t="str">
        <x:v>Roofing</x:v>
      </x:c>
      <x:c r="D111" s="14" t="str">
        <x:v>Shingle / shake roofing sealant</x:v>
      </x:c>
      <x:c r="E111" s="14" t="str">
        <x:v>If applicable; show available variation.</x:v>
      </x:c>
      <x:c r="F111" s="14" t="str">
        <x:v>Mandatory if applicable to documented roofing type</x:v>
      </x:c>
      <x:c r="G111" s="14" t="str">
        <x:v>High</x:v>
      </x:c>
      <x:c r="H111" s="14" t="str"/>
      <x:c r="I111" s="16" t="str"/>
      <x:c r="J111" s="16" t="str"/>
      <x:c r="K111" s="14" t="str"/>
      <x:c r="L111" s="14" t="str">
        <x:v>Not Started</x:v>
      </x:c>
      <x:c r="M111" s="16" t="str"/>
      <x:c r="N111" s="14" t="str">
        <x:v>ARCS-25012-ARC-SPC-09900 Rev 2</x:v>
      </x:c>
      <x:c r="O111" s="14" t="str">
        <x:v>0420 – 2.1 GENERAL / Samples</x:v>
      </x:c>
      <x:c r="P111" s="14" t="n">
        <x:v>160</x:v>
      </x:c>
      <x:c r="Q111" s="14" t="str">
        <x:v>ARCS-25012-ARC-SPC-09900 Rev 2 | 0420 – 2.1 GENERAL / Samples | PDF p.160</x:v>
      </x:c>
      <x:c r="R111" s="14" t="str">
        <x:v>Requirement: Provide samples of the following, showing the range of variation available:</x:v>
      </x:c>
      <x:c r="S111" s="14" t="str"/>
      <x:c r="T111" s="14" t="str"/>
    </x:row>
    <x:row r="112">
      <x:c r="A112" s="12" t="str">
        <x:v>SMP-111</x:v>
      </x:c>
      <x:c r="B112" s="12" t="str">
        <x:v>Architectural</x:v>
      </x:c>
      <x:c r="C112" s="12" t="str">
        <x:v>Roofing</x:v>
      </x:c>
      <x:c r="D112" s="14" t="str">
        <x:v>Shingles / shakes</x:v>
      </x:c>
      <x:c r="E112" s="14" t="str">
        <x:v>If applicable; show available variation.</x:v>
      </x:c>
      <x:c r="F112" s="14" t="str">
        <x:v>Mandatory if applicable to documented roofing type</x:v>
      </x:c>
      <x:c r="G112" s="14" t="str">
        <x:v>High</x:v>
      </x:c>
      <x:c r="H112" s="14" t="str"/>
      <x:c r="I112" s="16" t="str"/>
      <x:c r="J112" s="16" t="str"/>
      <x:c r="K112" s="14" t="str"/>
      <x:c r="L112" s="14" t="str">
        <x:v>Not Started</x:v>
      </x:c>
      <x:c r="M112" s="16" t="str"/>
      <x:c r="N112" s="14" t="str">
        <x:v>ARCS-25012-ARC-SPC-09900 Rev 2</x:v>
      </x:c>
      <x:c r="O112" s="14" t="str">
        <x:v>0420 – 2.1 GENERAL / Samples</x:v>
      </x:c>
      <x:c r="P112" s="14" t="n">
        <x:v>160</x:v>
      </x:c>
      <x:c r="Q112" s="14" t="str">
        <x:v>ARCS-25012-ARC-SPC-09900 Rev 2 | 0420 – 2.1 GENERAL / Samples | PDF p.160</x:v>
      </x:c>
      <x:c r="R112" s="14" t="str">
        <x:v>Requirement: Provide samples of the following, showing the range of variation available:</x:v>
      </x:c>
      <x:c r="S112" s="14" t="str"/>
      <x:c r="T112" s="14" t="str"/>
    </x:row>
    <x:row r="113">
      <x:c r="A113" s="12" t="str">
        <x:v>SMP-112</x:v>
      </x:c>
      <x:c r="B113" s="12" t="str">
        <x:v>Architectural</x:v>
      </x:c>
      <x:c r="C113" s="12" t="str">
        <x:v>Roofing</x:v>
      </x:c>
      <x:c r="D113" s="14" t="str">
        <x:v>Slate bedding / pointing mortar</x:v>
      </x:c>
      <x:c r="E113" s="14" t="str">
        <x:v>If applicable.</x:v>
      </x:c>
      <x:c r="F113" s="14" t="str">
        <x:v>Mandatory if applicable to documented roofing type</x:v>
      </x:c>
      <x:c r="G113" s="14" t="str">
        <x:v>High</x:v>
      </x:c>
      <x:c r="H113" s="14" t="str"/>
      <x:c r="I113" s="16" t="str"/>
      <x:c r="J113" s="16" t="str"/>
      <x:c r="K113" s="14" t="str"/>
      <x:c r="L113" s="14" t="str">
        <x:v>Not Started</x:v>
      </x:c>
      <x:c r="M113" s="16" t="str"/>
      <x:c r="N113" s="14" t="str">
        <x:v>ARCS-25012-ARC-SPC-09900 Rev 2</x:v>
      </x:c>
      <x:c r="O113" s="14" t="str">
        <x:v>0420 – 2.1 GENERAL / Samples</x:v>
      </x:c>
      <x:c r="P113" s="14" t="n">
        <x:v>160</x:v>
      </x:c>
      <x:c r="Q113" s="14" t="str">
        <x:v>ARCS-25012-ARC-SPC-09900 Rev 2 | 0420 – 2.1 GENERAL / Samples | PDF p.160</x:v>
      </x:c>
      <x:c r="R113" s="14" t="str">
        <x:v>Requirement: Provide samples of the following, showing the range of variation available:</x:v>
      </x:c>
      <x:c r="S113" s="14" t="str"/>
      <x:c r="T113" s="14" t="str"/>
    </x:row>
    <x:row r="114">
      <x:c r="A114" s="12" t="str">
        <x:v>SMP-113</x:v>
      </x:c>
      <x:c r="B114" s="12" t="str">
        <x:v>Architectural</x:v>
      </x:c>
      <x:c r="C114" s="12" t="str">
        <x:v>Roofing</x:v>
      </x:c>
      <x:c r="D114" s="14" t="str">
        <x:v>Slate tiles</x:v>
      </x:c>
      <x:c r="E114" s="14" t="str">
        <x:v>If applicable.</x:v>
      </x:c>
      <x:c r="F114" s="14" t="str">
        <x:v>Mandatory if applicable to documented roofing type</x:v>
      </x:c>
      <x:c r="G114" s="14" t="str">
        <x:v>High</x:v>
      </x:c>
      <x:c r="H114" s="14" t="str"/>
      <x:c r="I114" s="16" t="str"/>
      <x:c r="J114" s="16" t="str"/>
      <x:c r="K114" s="14" t="str"/>
      <x:c r="L114" s="14" t="str">
        <x:v>Not Started</x:v>
      </x:c>
      <x:c r="M114" s="16" t="str"/>
      <x:c r="N114" s="14" t="str">
        <x:v>ARCS-25012-ARC-SPC-09900 Rev 2</x:v>
      </x:c>
      <x:c r="O114" s="14" t="str">
        <x:v>0420 – 2.1 GENERAL / Samples</x:v>
      </x:c>
      <x:c r="P114" s="14" t="n">
        <x:v>160</x:v>
      </x:c>
      <x:c r="Q114" s="14" t="str">
        <x:v>ARCS-25012-ARC-SPC-09900 Rev 2 | 0420 – 2.1 GENERAL / Samples | PDF p.160</x:v>
      </x:c>
      <x:c r="R114" s="14" t="str">
        <x:v>Requirement: Provide samples of the following, showing the range of variation available:</x:v>
      </x:c>
      <x:c r="S114" s="14" t="str"/>
      <x:c r="T114" s="14" t="str"/>
    </x:row>
    <x:row r="115">
      <x:c r="A115" s="12" t="str">
        <x:v>SMP-114</x:v>
      </x:c>
      <x:c r="B115" s="12" t="str">
        <x:v>Architectural</x:v>
      </x:c>
      <x:c r="C115" s="12" t="str">
        <x:v>Roofing</x:v>
      </x:c>
      <x:c r="D115" s="14" t="str">
        <x:v>Tile roofing bedding / pointing mortar</x:v>
      </x:c>
      <x:c r="E115" s="14" t="str">
        <x:v>If applicable.</x:v>
      </x:c>
      <x:c r="F115" s="14" t="str">
        <x:v>Mandatory if applicable to documented roofing type</x:v>
      </x:c>
      <x:c r="G115" s="14" t="str">
        <x:v>High</x:v>
      </x:c>
      <x:c r="H115" s="14" t="str"/>
      <x:c r="I115" s="16" t="str"/>
      <x:c r="J115" s="16" t="str"/>
      <x:c r="K115" s="14" t="str"/>
      <x:c r="L115" s="14" t="str">
        <x:v>Not Started</x:v>
      </x:c>
      <x:c r="M115" s="16" t="str"/>
      <x:c r="N115" s="14" t="str">
        <x:v>ARCS-25012-ARC-SPC-09900 Rev 2</x:v>
      </x:c>
      <x:c r="O115" s="14" t="str">
        <x:v>0420 – 2.1 GENERAL / Samples</x:v>
      </x:c>
      <x:c r="P115" s="14" t="n">
        <x:v>160</x:v>
      </x:c>
      <x:c r="Q115" s="14" t="str">
        <x:v>ARCS-25012-ARC-SPC-09900 Rev 2 | 0420 – 2.1 GENERAL / Samples | PDF p.160</x:v>
      </x:c>
      <x:c r="R115" s="14" t="str">
        <x:v>Requirement: Provide samples of the following, showing the range of variation available:</x:v>
      </x:c>
      <x:c r="S115" s="14" t="str"/>
      <x:c r="T115" s="14" t="str"/>
    </x:row>
    <x:row r="116">
      <x:c r="A116" s="12" t="str">
        <x:v>SMP-115</x:v>
      </x:c>
      <x:c r="B116" s="12" t="str">
        <x:v>Architectural</x:v>
      </x:c>
      <x:c r="C116" s="12" t="str">
        <x:v>Sealants</x:v>
      </x:c>
      <x:c r="D116" s="14" t="str">
        <x:v>Visible joint sealants</x:v>
      </x:c>
      <x:c r="E116" s="14" t="str">
        <x:v>One sample for each visible sealant showing cured colour.</x:v>
      </x:c>
      <x:c r="F116" s="14" t="str">
        <x:v>Mandatory</x:v>
      </x:c>
      <x:c r="G116" s="14" t="str">
        <x:v>High</x:v>
      </x:c>
      <x:c r="H116" s="14" t="str"/>
      <x:c r="I116" s="16" t="str"/>
      <x:c r="J116" s="16" t="str"/>
      <x:c r="K116" s="14" t="str"/>
      <x:c r="L116" s="14" t="str">
        <x:v>Not Started</x:v>
      </x:c>
      <x:c r="M116" s="16" t="str"/>
      <x:c r="N116" s="14" t="str">
        <x:v>ARCS-25012-ARC-SPC-09900 Rev 2</x:v>
      </x:c>
      <x:c r="O116" s="14" t="str">
        <x:v>0181 – 2.1 GENERAL / Samples</x:v>
      </x:c>
      <x:c r="P116" s="14" t="n">
        <x:v>38</x:v>
      </x:c>
      <x:c r="Q116" s="14" t="str">
        <x:v>ARCS-25012-ARC-SPC-09900 Rev 2 | 0181 – 2.1 GENERAL / Samples | PDF p.38</x:v>
      </x:c>
      <x:c r="R116" s="14" t="str">
        <x:v>Visible joint sealants: Provide samples for each sealant showing the colour once cured.</x:v>
      </x:c>
      <x:c r="S116" s="14" t="str"/>
      <x:c r="T116" s="14" t="str"/>
    </x:row>
    <x:row r="117">
      <x:c r="A117" s="12" t="str">
        <x:v>SMP-116</x:v>
      </x:c>
      <x:c r="B117" s="12" t="str">
        <x:v>Architectural</x:v>
      </x:c>
      <x:c r="C117" s="12" t="str">
        <x:v>Signage</x:v>
      </x:c>
      <x:c r="D117" s="14" t="str">
        <x:v>Exposed signage material / accessories</x:v>
      </x:c>
      <x:c r="E117" s="14" t="str">
        <x:v>Sample for EACH colour and finish; show extreme and mean of each colour/texture range.</x:v>
      </x:c>
      <x:c r="F117" s="14" t="str">
        <x:v>Mandatory</x:v>
      </x:c>
      <x:c r="G117" s="14" t="str">
        <x:v>High</x:v>
      </x:c>
      <x:c r="H117" s="14" t="str"/>
      <x:c r="I117" s="16" t="str"/>
      <x:c r="J117" s="16" t="str"/>
      <x:c r="K117" s="14" t="str"/>
      <x:c r="L117" s="14" t="str">
        <x:v>Not Started</x:v>
      </x:c>
      <x:c r="M117" s="16" t="str"/>
      <x:c r="N117" s="14" t="str">
        <x:v>ARCS-25012-ARC-SPC-09900 Rev 2</x:v>
      </x:c>
      <x:c r="O117" s="14" t="str">
        <x:v>0581 – 2.1 GENERAL / Samples</x:v>
      </x:c>
      <x:c r="P117" s="14" t="n">
        <x:v>344</x:v>
      </x:c>
      <x:c r="Q117" s="14" t="str">
        <x:v>ARCS-25012-ARC-SPC-09900 Rev 2 | 0581 – 2.1 GENERAL / Samples | PDF p.344</x:v>
      </x:c>
      <x:c r="R117" s="14" t="str">
        <x:v>Provide samples for each colour and finish of exposed signage materials and accessories</x:v>
      </x:c>
      <x:c r="S117" s="14" t="str"/>
      <x:c r="T117" s="14" t="str"/>
    </x:row>
    <x:row r="118">
      <x:c r="A118" s="12" t="str">
        <x:v>SMP-117</x:v>
      </x:c>
      <x:c r="B118" s="12" t="str">
        <x:v>Architectural</x:v>
      </x:c>
      <x:c r="C118" s="12" t="str">
        <x:v>Suspended ceilings</x:v>
      </x:c>
      <x:c r="D118" s="14" t="str">
        <x:v>Ceiling accessories</x:v>
      </x:c>
      <x:c r="E118" s="14" t="str">
        <x:v>Include access panels and wall trim.</x:v>
      </x:c>
      <x:c r="F118" s="14" t="str">
        <x:v>Mandatory</x:v>
      </x:c>
      <x:c r="G118" s="14" t="str">
        <x:v>High</x:v>
      </x:c>
      <x:c r="H118" s="14" t="str"/>
      <x:c r="I118" s="16" t="str"/>
      <x:c r="J118" s="16" t="str"/>
      <x:c r="K118" s="14" t="str"/>
      <x:c r="L118" s="14" t="str">
        <x:v>Not Started</x:v>
      </x:c>
      <x:c r="M118" s="16" t="str"/>
      <x:c r="N118" s="14" t="str">
        <x:v>ARCS-25012-ARC-SPC-09900 Rev 2</x:v>
      </x:c>
      <x:c r="O118" s="14" t="str">
        <x:v>0530 – 2.1 GENERAL / Samples</x:v>
      </x:c>
      <x:c r="P118" s="14" t="n">
        <x:v>294</x:v>
      </x:c>
      <x:c r="Q118" s="14" t="str">
        <x:v>ARCS-25012-ARC-SPC-09900 Rev 2 | 0530 – 2.1 GENERAL / Samples | PDF p.294</x:v>
      </x:c>
      <x:c r="R118" s="14" t="str">
        <x:v>Requirement: Provide samples as follows:</x:v>
      </x:c>
      <x:c r="S118" s="14" t="str"/>
      <x:c r="T118" s="14" t="str"/>
    </x:row>
    <x:row r="119">
      <x:c r="A119" s="12" t="str">
        <x:v>SMP-118</x:v>
      </x:c>
      <x:c r="B119" s="12" t="str">
        <x:v>Architectural</x:v>
      </x:c>
      <x:c r="C119" s="12" t="str">
        <x:v>Suspended ceilings</x:v>
      </x:c>
      <x:c r="D119" s="14" t="str">
        <x:v>Ceiling material / lining / units</x:v>
      </x:c>
      <x:c r="E119" s="14" t="str">
        <x:v>Include insulation; show extremes and mean variation in colour, pattern or texture.</x:v>
      </x:c>
      <x:c r="F119" s="14" t="str">
        <x:v>Mandatory</x:v>
      </x:c>
      <x:c r="G119" s="14" t="str">
        <x:v>High</x:v>
      </x:c>
      <x:c r="H119" s="14" t="str"/>
      <x:c r="I119" s="16" t="str"/>
      <x:c r="J119" s="16" t="str"/>
      <x:c r="K119" s="14" t="str"/>
      <x:c r="L119" s="14" t="str">
        <x:v>Not Started</x:v>
      </x:c>
      <x:c r="M119" s="16" t="str"/>
      <x:c r="N119" s="14" t="str">
        <x:v>ARCS-25012-ARC-SPC-09900 Rev 2</x:v>
      </x:c>
      <x:c r="O119" s="14" t="str">
        <x:v>0530 – 2.1 GENERAL / Samples</x:v>
      </x:c>
      <x:c r="P119" s="14" t="n">
        <x:v>294</x:v>
      </x:c>
      <x:c r="Q119" s="14" t="str">
        <x:v>ARCS-25012-ARC-SPC-09900 Rev 2 | 0530 – 2.1 GENERAL / Samples | PDF p.294</x:v>
      </x:c>
      <x:c r="R119" s="14" t="str">
        <x:v>Requirement: Provide samples as follows:</x:v>
      </x:c>
      <x:c r="S119" s="14" t="str"/>
      <x:c r="T119" s="14" t="str"/>
    </x:row>
    <x:row r="120">
      <x:c r="A120" s="12" t="str">
        <x:v>SMP-119</x:v>
      </x:c>
      <x:c r="B120" s="12" t="str">
        <x:v>Architectural</x:v>
      </x:c>
      <x:c r="C120" s="12" t="str">
        <x:v>Suspended ceilings</x:v>
      </x:c>
      <x:c r="D120" s="14" t="str">
        <x:v>Ceiling suspension system sections</x:v>
      </x:c>
      <x:c r="E120" s="14" t="str">
        <x:v>Include rods, clips and wall angles.</x:v>
      </x:c>
      <x:c r="F120" s="14" t="str">
        <x:v>Mandatory</x:v>
      </x:c>
      <x:c r="G120" s="14" t="str">
        <x:v>High</x:v>
      </x:c>
      <x:c r="H120" s="14" t="str"/>
      <x:c r="I120" s="16" t="str"/>
      <x:c r="J120" s="16" t="str"/>
      <x:c r="K120" s="14" t="str"/>
      <x:c r="L120" s="14" t="str">
        <x:v>Not Started</x:v>
      </x:c>
      <x:c r="M120" s="16" t="str"/>
      <x:c r="N120" s="14" t="str">
        <x:v>ARCS-25012-ARC-SPC-09900 Rev 2</x:v>
      </x:c>
      <x:c r="O120" s="14" t="str">
        <x:v>0530 – 2.1 GENERAL / Samples</x:v>
      </x:c>
      <x:c r="P120" s="14" t="n">
        <x:v>294</x:v>
      </x:c>
      <x:c r="Q120" s="14" t="str">
        <x:v>ARCS-25012-ARC-SPC-09900 Rev 2 | 0530 – 2.1 GENERAL / Samples | PDF p.294</x:v>
      </x:c>
      <x:c r="R120" s="14" t="str">
        <x:v>Requirement: Provide samples as follows:</x:v>
      </x:c>
      <x:c r="S120" s="14" t="str"/>
      <x:c r="T120" s="14" t="str"/>
    </x:row>
    <x:row r="121">
      <x:c r="A121" s="12" t="str">
        <x:v>SMP-120</x:v>
      </x:c>
      <x:c r="B121" s="12" t="str">
        <x:v>Architectural</x:v>
      </x:c>
      <x:c r="C121" s="12" t="str">
        <x:v>Tiling</x:v>
      </x:c>
      <x:c r="D121" s="14" t="str">
        <x:v>Tiles / accessories / grout / sealants</x:v>
      </x:c>
      <x:c r="E121" s="14" t="str">
        <x:v>Labelled samples showing range in colour and finish.</x:v>
      </x:c>
      <x:c r="F121" s="14" t="str">
        <x:v>Mandatory</x:v>
      </x:c>
      <x:c r="G121" s="14" t="str">
        <x:v>High</x:v>
      </x:c>
      <x:c r="H121" s="14" t="str"/>
      <x:c r="I121" s="16" t="str"/>
      <x:c r="J121" s="16" t="str"/>
      <x:c r="K121" s="14" t="str"/>
      <x:c r="L121" s="14" t="str">
        <x:v>Not Started</x:v>
      </x:c>
      <x:c r="M121" s="16" t="str"/>
      <x:c r="N121" s="14" t="str">
        <x:v>ARCS-25012-ARC-SPC-09900 Rev 2</x:v>
      </x:c>
      <x:c r="O121" s="14" t="str">
        <x:v>0631 – 2.1 GENERAL / Samples</x:v>
      </x:c>
      <x:c r="P121" s="14" t="n">
        <x:v>374</x:v>
      </x:c>
      <x:c r="Q121" s="14" t="str">
        <x:v>ARCS-25012-ARC-SPC-09900 Rev 2 | 0631 – 2.1 GENERAL / Samples | PDF p.374</x:v>
      </x:c>
      <x:c r="R121" s="14" t="str">
        <x:v>Provide labelled samples of tiles, including accessories, grout and sealants, showing the range of variation in colour and finish.</x:v>
      </x:c>
      <x:c r="S121" s="14" t="str"/>
      <x:c r="T121" s="14" t="str"/>
    </x:row>
    <x:row r="122">
      <x:c r="A122" s="12" t="str">
        <x:v>SMP-121</x:v>
      </x:c>
      <x:c r="B122" s="12" t="str">
        <x:v>Architectural</x:v>
      </x:c>
      <x:c r="C122" s="12" t="str">
        <x:v>Tiling</x:v>
      </x:c>
      <x:c r="D122" s="14" t="str">
        <x:v>Tiling system sample panel</x:v>
      </x:c>
      <x:c r="E122" s="14" t="str">
        <x:v>EACH tiling system; &gt;1 m²; include junction details and trim; preserve until related work complete.</x:v>
      </x:c>
      <x:c r="F122" s="14" t="str">
        <x:v>Mandatory</x:v>
      </x:c>
      <x:c r="G122" s="14" t="str">
        <x:v>High</x:v>
      </x:c>
      <x:c r="H122" s="14" t="str"/>
      <x:c r="I122" s="16" t="str"/>
      <x:c r="J122" s="16" t="str"/>
      <x:c r="K122" s="14" t="str"/>
      <x:c r="L122" s="14" t="str">
        <x:v>Not Started</x:v>
      </x:c>
      <x:c r="M122" s="16" t="str"/>
      <x:c r="N122" s="14" t="str">
        <x:v>ARCS-25012-ARC-SPC-09900 Rev 2</x:v>
      </x:c>
      <x:c r="O122" s="14" t="str">
        <x:v>0631 – 2.1 GENERAL / Samples</x:v>
      </x:c>
      <x:c r="P122" s="14" t="n">
        <x:v>374</x:v>
      </x:c>
      <x:c r="Q122" s="14" t="str">
        <x:v>ARCS-25012-ARC-SPC-09900 Rev 2 | 0631 – 2.1 GENERAL / Samples | PDF p.374</x:v>
      </x:c>
      <x:c r="R122" s="14" t="str">
        <x:v>Sample panels: Prepare a sample panel of each type of tiling system</x:v>
      </x:c>
      <x:c r="S122" s="14" t="str"/>
      <x:c r="T122" s="14" t="str"/>
    </x:row>
    <x:row r="123">
      <x:c r="A123" s="12" t="str">
        <x:v>SMP-122</x:v>
      </x:c>
      <x:c r="B123" s="12" t="str">
        <x:v>Architectural</x:v>
      </x:c>
      <x:c r="C123" s="12" t="str">
        <x:v>Wet-area waterproofing</x:v>
      </x:c>
      <x:c r="D123" s="14" t="str">
        <x:v>Wet-area membranes</x:v>
      </x:c>
      <x:c r="E123" s="14" t="str">
        <x:v>300 x 300 mm sample of EACH membrane type.</x:v>
      </x:c>
      <x:c r="F123" s="14" t="str">
        <x:v>Mandatory</x:v>
      </x:c>
      <x:c r="G123" s="14" t="str">
        <x:v>High</x:v>
      </x:c>
      <x:c r="H123" s="14" t="str"/>
      <x:c r="I123" s="16" t="str"/>
      <x:c r="J123" s="16" t="str"/>
      <x:c r="K123" s="14" t="str"/>
      <x:c r="L123" s="14" t="str">
        <x:v>Not Started</x:v>
      </x:c>
      <x:c r="M123" s="16" t="str"/>
      <x:c r="N123" s="14" t="str">
        <x:v>ARCS-25012-ARC-SPC-09900 Rev 2</x:v>
      </x:c>
      <x:c r="O123" s="14" t="str">
        <x:v>0621 – 2.1 GENERAL / Samples</x:v>
      </x:c>
      <x:c r="P123" s="14" t="n">
        <x:v>361</x:v>
      </x:c>
      <x:c r="Q123" s="14" t="str">
        <x:v>ARCS-25012-ARC-SPC-09900 Rev 2 | 0621 – 2.1 GENERAL / Samples | PDF p.361</x:v>
      </x:c>
      <x:c r="R123" s="14" t="str">
        <x:v>Provide 300 x 300 mm samples of each type of membrane.</x:v>
      </x:c>
      <x:c r="S123" s="14" t="str"/>
      <x:c r="T123" s="14" t="str"/>
    </x:row>
    <x:row r="124">
      <x:c r="A124" s="12" t="str">
        <x:v>SMP-123</x:v>
      </x:c>
      <x:c r="B124" s="12" t="str">
        <x:v>Architectural</x:v>
      </x:c>
      <x:c r="C124" s="12" t="str">
        <x:v>Window coverings</x:v>
      </x:c>
      <x:c r="D124" s="14" t="str">
        <x:v>Fabric shade / panel glider</x:v>
      </x:c>
      <x:c r="E124" s="14" t="str">
        <x:v>2 samples; 200 x 200 mm.</x:v>
      </x:c>
      <x:c r="F124" s="14" t="str">
        <x:v>Mandatory where documented</x:v>
      </x:c>
      <x:c r="G124" s="14" t="str">
        <x:v>High</x:v>
      </x:c>
      <x:c r="H124" s="14" t="str"/>
      <x:c r="I124" s="16" t="str"/>
      <x:c r="J124" s="16" t="str"/>
      <x:c r="K124" s="14" t="str"/>
      <x:c r="L124" s="14" t="str">
        <x:v>Not Started</x:v>
      </x:c>
      <x:c r="M124" s="16" t="str"/>
      <x:c r="N124" s="14" t="str">
        <x:v>ARCS-25012-ARC-SPC-09900 Rev 2</x:v>
      </x:c>
      <x:c r="O124" s="14" t="str">
        <x:v>0574 – 2.1 GENERAL / Samples</x:v>
      </x:c>
      <x:c r="P124" s="14" t="n">
        <x:v>339</x:v>
      </x:c>
      <x:c r="Q124" s="14" t="str">
        <x:v>ARCS-25012-ARC-SPC-09900 Rev 2 | 0574 – 2.1 GENERAL / Samples | PDF p.339</x:v>
      </x:c>
      <x:c r="R124" s="14" t="str">
        <x:v>Requirement: Provide two samples showing material, colour, texture, pattern and other visible characteristics</x:v>
      </x:c>
      <x:c r="S124" s="14" t="str"/>
      <x:c r="T124" s="14" t="str"/>
    </x:row>
    <x:row r="125">
      <x:c r="A125" s="12" t="str">
        <x:v>SMP-124</x:v>
      </x:c>
      <x:c r="B125" s="12" t="str">
        <x:v>Architectural</x:v>
      </x:c>
      <x:c r="C125" s="12" t="str">
        <x:v>Window coverings</x:v>
      </x:c>
      <x:c r="D125" s="14" t="str">
        <x:v>Holland blind</x:v>
      </x:c>
      <x:c r="E125" s="14" t="str">
        <x:v>2 samples; 200 x 200 mm.</x:v>
      </x:c>
      <x:c r="F125" s="14" t="str">
        <x:v>Mandatory where documented</x:v>
      </x:c>
      <x:c r="G125" s="14" t="str">
        <x:v>High</x:v>
      </x:c>
      <x:c r="H125" s="14" t="str"/>
      <x:c r="I125" s="16" t="str"/>
      <x:c r="J125" s="16" t="str"/>
      <x:c r="K125" s="14" t="str"/>
      <x:c r="L125" s="14" t="str">
        <x:v>Not Started</x:v>
      </x:c>
      <x:c r="M125" s="16" t="str"/>
      <x:c r="N125" s="14" t="str">
        <x:v>ARCS-25012-ARC-SPC-09900 Rev 2</x:v>
      </x:c>
      <x:c r="O125" s="14" t="str">
        <x:v>0574 – 2.1 GENERAL / Samples</x:v>
      </x:c>
      <x:c r="P125" s="14" t="n">
        <x:v>339</x:v>
      </x:c>
      <x:c r="Q125" s="14" t="str">
        <x:v>ARCS-25012-ARC-SPC-09900 Rev 2 | 0574 – 2.1 GENERAL / Samples | PDF p.339</x:v>
      </x:c>
      <x:c r="R125" s="14" t="str">
        <x:v>Requirement: Provide two samples showing material, colour, texture, pattern and other visible characteristics</x:v>
      </x:c>
      <x:c r="S125" s="14" t="str"/>
      <x:c r="T125" s="14" t="str"/>
    </x:row>
    <x:row r="126">
      <x:c r="A126" s="12" t="str">
        <x:v>SMP-125</x:v>
      </x:c>
      <x:c r="B126" s="12" t="str">
        <x:v>Architectural</x:v>
      </x:c>
      <x:c r="C126" s="12" t="str">
        <x:v>Window coverings</x:v>
      </x:c>
      <x:c r="D126" s="14" t="str">
        <x:v>Shutter</x:v>
      </x:c>
      <x:c r="E126" s="14" t="str">
        <x:v>2 samples; 400 mm long slat and frame.</x:v>
      </x:c>
      <x:c r="F126" s="14" t="str">
        <x:v>Mandatory where documented</x:v>
      </x:c>
      <x:c r="G126" s="14" t="str">
        <x:v>High</x:v>
      </x:c>
      <x:c r="H126" s="14" t="str"/>
      <x:c r="I126" s="16" t="str"/>
      <x:c r="J126" s="16" t="str"/>
      <x:c r="K126" s="14" t="str"/>
      <x:c r="L126" s="14" t="str">
        <x:v>Not Started</x:v>
      </x:c>
      <x:c r="M126" s="16" t="str"/>
      <x:c r="N126" s="14" t="str">
        <x:v>ARCS-25012-ARC-SPC-09900 Rev 2</x:v>
      </x:c>
      <x:c r="O126" s="14" t="str">
        <x:v>0574 – 2.1 GENERAL / Samples</x:v>
      </x:c>
      <x:c r="P126" s="14" t="n">
        <x:v>339</x:v>
      </x:c>
      <x:c r="Q126" s="14" t="str">
        <x:v>ARCS-25012-ARC-SPC-09900 Rev 2 | 0574 – 2.1 GENERAL / Samples | PDF p.339</x:v>
      </x:c>
      <x:c r="R126" s="14" t="str">
        <x:v>Requirement: Provide two samples showing material, colour, texture, pattern and other visible characteristics</x:v>
      </x:c>
      <x:c r="S126" s="14" t="str"/>
      <x:c r="T126" s="14" t="str"/>
    </x:row>
    <x:row r="127">
      <x:c r="A127" s="12" t="str">
        <x:v>SMP-126</x:v>
      </x:c>
      <x:c r="B127" s="12" t="str">
        <x:v>Architectural</x:v>
      </x:c>
      <x:c r="C127" s="12" t="str">
        <x:v>Window coverings</x:v>
      </x:c>
      <x:c r="D127" s="14" t="str">
        <x:v>Window-covering track system</x:v>
      </x:c>
      <x:c r="E127" s="14" t="str">
        <x:v>2 samples; 400 mm incl. standard control system furniture items/accessories.</x:v>
      </x:c>
      <x:c r="F127" s="14" t="str">
        <x:v>Mandatory where documented</x:v>
      </x:c>
      <x:c r="G127" s="14" t="str">
        <x:v>High</x:v>
      </x:c>
      <x:c r="H127" s="14" t="str"/>
      <x:c r="I127" s="16" t="str"/>
      <x:c r="J127" s="16" t="str"/>
      <x:c r="K127" s="14" t="str"/>
      <x:c r="L127" s="14" t="str">
        <x:v>Not Started</x:v>
      </x:c>
      <x:c r="M127" s="16" t="str"/>
      <x:c r="N127" s="14" t="str">
        <x:v>ARCS-25012-ARC-SPC-09900 Rev 2</x:v>
      </x:c>
      <x:c r="O127" s="14" t="str">
        <x:v>0574 – 2.1 GENERAL / Samples</x:v>
      </x:c>
      <x:c r="P127" s="14" t="n">
        <x:v>339</x:v>
      </x:c>
      <x:c r="Q127" s="14" t="str">
        <x:v>ARCS-25012-ARC-SPC-09900 Rev 2 | 0574 – 2.1 GENERAL / Samples | PDF p.339</x:v>
      </x:c>
      <x:c r="R127" s="14" t="str">
        <x:v>Requirement: Provide two samples showing material, colour, texture, pattern and other visible characteristics</x:v>
      </x:c>
      <x:c r="S127" s="14" t="str"/>
      <x:c r="T127" s="14" t="str"/>
    </x:row>
    <x:row r="128">
      <x:c r="A128" s="12" t="str">
        <x:v>SMP-127</x:v>
      </x:c>
      <x:c r="B128" s="12" t="str">
        <x:v>Architectural</x:v>
      </x:c>
      <x:c r="C128" s="12" t="str">
        <x:v>Windows &amp; glazed doors</x:v>
      </x:c>
      <x:c r="D128" s="14" t="str">
        <x:v>Window framing – frames / sashes / louvres / slats</x:v>
      </x:c>
      <x:c r="E128" s="14" t="str">
        <x:v>Provide proposed sections.</x:v>
      </x:c>
      <x:c r="F128" s="14" t="str">
        <x:v>Mandatory where applicable</x:v>
      </x:c>
      <x:c r="G128" s="14" t="str">
        <x:v>High</x:v>
      </x:c>
      <x:c r="H128" s="14" t="str"/>
      <x:c r="I128" s="16" t="str"/>
      <x:c r="J128" s="16" t="str"/>
      <x:c r="K128" s="14" t="str"/>
      <x:c r="L128" s="14" t="str">
        <x:v>Not Started</x:v>
      </x:c>
      <x:c r="M128" s="16" t="str"/>
      <x:c r="N128" s="14" t="str">
        <x:v>ARCS-25012-ARC-SPC-09900 Rev 2</x:v>
      </x:c>
      <x:c r="O128" s="14" t="str">
        <x:v>0451 – 2.1 GENERAL / Samples</x:v>
      </x:c>
      <x:c r="P128" s="14" t="n">
        <x:v>189</x:v>
      </x:c>
      <x:c r="Q128" s="14" t="str">
        <x:v>ARCS-25012-ARC-SPC-09900 Rev 2 | 0451 – 2.1 GENERAL / Samples | PDF p.189</x:v>
      </x:c>
      <x:c r="R128" s="14" t="str">
        <x:v>Requirement: Provide samples labelled with the series code reference and date of manufacture.</x:v>
      </x:c>
      <x:c r="S128" s="14" t="str"/>
      <x:c r="T128" s="14" t="str"/>
    </x:row>
    <x:row r="129">
      <x:c r="A129" s="12" t="str">
        <x:v>SMP-128</x:v>
      </x:c>
      <x:c r="B129" s="12" t="str">
        <x:v>Architectural</x:v>
      </x:c>
      <x:c r="C129" s="12" t="str">
        <x:v>Windows &amp; glazed doors</x:v>
      </x:c>
      <x:c r="D129" s="14" t="str">
        <x:v>Window framing – prefinished material</x:v>
      </x:c>
      <x:c r="E129" s="14" t="str">
        <x:v>Show limits of documented colour variation.</x:v>
      </x:c>
      <x:c r="F129" s="14" t="str">
        <x:v>Mandatory where applicable</x:v>
      </x:c>
      <x:c r="G129" s="14" t="str">
        <x:v>High</x:v>
      </x:c>
      <x:c r="H129" s="14" t="str"/>
      <x:c r="I129" s="16" t="str"/>
      <x:c r="J129" s="16" t="str"/>
      <x:c r="K129" s="14" t="str"/>
      <x:c r="L129" s="14" t="str">
        <x:v>Not Started</x:v>
      </x:c>
      <x:c r="M129" s="16" t="str"/>
      <x:c r="N129" s="14" t="str">
        <x:v>ARCS-25012-ARC-SPC-09900 Rev 2</x:v>
      </x:c>
      <x:c r="O129" s="14" t="str">
        <x:v>0451 – 2.1 GENERAL / Samples</x:v>
      </x:c>
      <x:c r="P129" s="14" t="n">
        <x:v>189</x:v>
      </x:c>
      <x:c r="Q129" s="14" t="str">
        <x:v>ARCS-25012-ARC-SPC-09900 Rev 2 | 0451 – 2.1 GENERAL / Samples | PDF p.189</x:v>
      </x:c>
      <x:c r="R129" s="14" t="str">
        <x:v>Requirement: Provide samples labelled with the series code reference and date of manufacture.</x:v>
      </x:c>
      <x:c r="S129" s="14" t="str"/>
      <x:c r="T129" s="14" t="str"/>
    </x:row>
    <x:row r="130">
      <x:c r="A130" s="12" t="str">
        <x:v>SMP-129</x:v>
      </x:c>
      <x:c r="B130" s="12" t="str">
        <x:v>Architectural</x:v>
      </x:c>
      <x:c r="C130" s="12" t="str">
        <x:v>Windows &amp; glazed doors</x:v>
      </x:c>
      <x:c r="D130" s="14" t="str">
        <x:v>Window framing – proposed joints</x:v>
      </x:c>
      <x:c r="E130" s="14" t="str">
        <x:v>Joints made by proposed technique.</x:v>
      </x:c>
      <x:c r="F130" s="14" t="str">
        <x:v>Mandatory where applicable</x:v>
      </x:c>
      <x:c r="G130" s="14" t="str">
        <x:v>High</x:v>
      </x:c>
      <x:c r="H130" s="14" t="str"/>
      <x:c r="I130" s="16" t="str"/>
      <x:c r="J130" s="16" t="str"/>
      <x:c r="K130" s="14" t="str"/>
      <x:c r="L130" s="14" t="str">
        <x:v>Not Started</x:v>
      </x:c>
      <x:c r="M130" s="16" t="str"/>
      <x:c r="N130" s="14" t="str">
        <x:v>ARCS-25012-ARC-SPC-09900 Rev 2</x:v>
      </x:c>
      <x:c r="O130" s="14" t="str">
        <x:v>0451 – 2.1 GENERAL / Samples</x:v>
      </x:c>
      <x:c r="P130" s="14" t="n">
        <x:v>189</x:v>
      </x:c>
      <x:c r="Q130" s="14" t="str">
        <x:v>ARCS-25012-ARC-SPC-09900 Rev 2 | 0451 – 2.1 GENERAL / Samples | PDF p.189</x:v>
      </x:c>
      <x:c r="R130" s="14" t="str">
        <x:v>Requirement: Provide samples labelled with the series code reference and date of manufacture.</x:v>
      </x:c>
      <x:c r="S130" s="14" t="str"/>
      <x:c r="T130" s="14" t="str"/>
    </x:row>
    <x:row r="131">
      <x:c r="A131" s="12" t="str">
        <x:v>SMP-130</x:v>
      </x:c>
      <x:c r="B131" s="12" t="str">
        <x:v>Architectural</x:v>
      </x:c>
      <x:c r="C131" s="12" t="str">
        <x:v>Windows &amp; glazed doors</x:v>
      </x:c>
      <x:c r="D131" s="14" t="str">
        <x:v>Window generic hardware</x:v>
      </x:c>
      <x:c r="E131" s="14" t="str">
        <x:v>Generic items not documented as proprietary.</x:v>
      </x:c>
      <x:c r="F131" s="14" t="str">
        <x:v>Mandatory where applicable</x:v>
      </x:c>
      <x:c r="G131" s="14" t="str">
        <x:v>High</x:v>
      </x:c>
      <x:c r="H131" s="14" t="str"/>
      <x:c r="I131" s="16" t="str"/>
      <x:c r="J131" s="16" t="str"/>
      <x:c r="K131" s="14" t="str"/>
      <x:c r="L131" s="14" t="str">
        <x:v>Not Started</x:v>
      </x:c>
      <x:c r="M131" s="16" t="str"/>
      <x:c r="N131" s="14" t="str">
        <x:v>ARCS-25012-ARC-SPC-09900 Rev 2</x:v>
      </x:c>
      <x:c r="O131" s="14" t="str">
        <x:v>0451 – 2.1 GENERAL / Samples</x:v>
      </x:c>
      <x:c r="P131" s="14" t="n">
        <x:v>189</x:v>
      </x:c>
      <x:c r="Q131" s="14" t="str">
        <x:v>ARCS-25012-ARC-SPC-09900 Rev 2 | 0451 – 2.1 GENERAL / Samples | PDF p.189</x:v>
      </x:c>
      <x:c r="R131" s="14" t="str">
        <x:v>Requirement: Provide samples labelled with the series code reference and date of manufacture.</x:v>
      </x:c>
      <x:c r="S131" s="14" t="str"/>
      <x:c r="T131" s="14" t="str"/>
    </x:row>
    <x:row r="132">
      <x:c r="A132" s="12" t="str">
        <x:v>SMP-131</x:v>
      </x:c>
      <x:c r="B132" s="12" t="str">
        <x:v>Architectural</x:v>
      </x:c>
      <x:c r="C132" s="12" t="str">
        <x:v>Windows &amp; glazed doors</x:v>
      </x:c>
      <x:c r="D132" s="14" t="str">
        <x:v>Window glazing – ceramic-coated</x:v>
      </x:c>
      <x:c r="E132" s="14" t="str">
        <x:v>At least 200 x 200 mm.</x:v>
      </x:c>
      <x:c r="F132" s="14" t="str">
        <x:v>Mandatory where applicable</x:v>
      </x:c>
      <x:c r="G132" s="14" t="str">
        <x:v>High</x:v>
      </x:c>
      <x:c r="H132" s="14" t="str"/>
      <x:c r="I132" s="16" t="str"/>
      <x:c r="J132" s="16" t="str"/>
      <x:c r="K132" s="14" t="str"/>
      <x:c r="L132" s="14" t="str">
        <x:v>Not Started</x:v>
      </x:c>
      <x:c r="M132" s="16" t="str"/>
      <x:c r="N132" s="14" t="str">
        <x:v>ARCS-25012-ARC-SPC-09900 Rev 2</x:v>
      </x:c>
      <x:c r="O132" s="14" t="str">
        <x:v>0451 – 2.1 GENERAL / Samples</x:v>
      </x:c>
      <x:c r="P132" s="14" t="n">
        <x:v>189</x:v>
      </x:c>
      <x:c r="Q132" s="14" t="str">
        <x:v>ARCS-25012-ARC-SPC-09900 Rev 2 | 0451 – 2.1 GENERAL / Samples | PDF p.189</x:v>
      </x:c>
      <x:c r="R132" s="14" t="str">
        <x:v>Requirement: Provide samples labelled with the series code reference and date of manufacture.</x:v>
      </x:c>
      <x:c r="S132" s="14" t="str"/>
      <x:c r="T132" s="14" t="str"/>
    </x:row>
    <x:row r="133">
      <x:c r="A133" s="12" t="str">
        <x:v>SMP-132</x:v>
      </x:c>
      <x:c r="B133" s="12" t="str">
        <x:v>Architectural</x:v>
      </x:c>
      <x:c r="C133" s="12" t="str">
        <x:v>Windows &amp; glazed doors</x:v>
      </x:c>
      <x:c r="D133" s="14" t="str">
        <x:v>Window glazing – mirror</x:v>
      </x:c>
      <x:c r="E133" s="14" t="str">
        <x:v>At least 200 x 200 mm.</x:v>
      </x:c>
      <x:c r="F133" s="14" t="str">
        <x:v>Mandatory where applicable</x:v>
      </x:c>
      <x:c r="G133" s="14" t="str">
        <x:v>High</x:v>
      </x:c>
      <x:c r="H133" s="14" t="str"/>
      <x:c r="I133" s="16" t="str"/>
      <x:c r="J133" s="16" t="str"/>
      <x:c r="K133" s="14" t="str"/>
      <x:c r="L133" s="14" t="str">
        <x:v>Not Started</x:v>
      </x:c>
      <x:c r="M133" s="16" t="str"/>
      <x:c r="N133" s="14" t="str">
        <x:v>ARCS-25012-ARC-SPC-09900 Rev 2</x:v>
      </x:c>
      <x:c r="O133" s="14" t="str">
        <x:v>0451 – 2.1 GENERAL / Samples</x:v>
      </x:c>
      <x:c r="P133" s="14" t="n">
        <x:v>189</x:v>
      </x:c>
      <x:c r="Q133" s="14" t="str">
        <x:v>ARCS-25012-ARC-SPC-09900 Rev 2 | 0451 – 2.1 GENERAL / Samples | PDF p.189</x:v>
      </x:c>
      <x:c r="R133" s="14" t="str">
        <x:v>Requirement: Provide samples labelled with the series code reference and date of manufacture.</x:v>
      </x:c>
      <x:c r="S133" s="14" t="str"/>
      <x:c r="T133" s="14" t="str"/>
    </x:row>
    <x:row r="134">
      <x:c r="A134" s="12" t="str">
        <x:v>SMP-133</x:v>
      </x:c>
      <x:c r="B134" s="12" t="str">
        <x:v>Architectural</x:v>
      </x:c>
      <x:c r="C134" s="12" t="str">
        <x:v>Windows &amp; glazed doors</x:v>
      </x:c>
      <x:c r="D134" s="14" t="str">
        <x:v>Window glazing – patterned / obscured</x:v>
      </x:c>
      <x:c r="E134" s="14" t="str">
        <x:v>At least 200 x 200 mm.</x:v>
      </x:c>
      <x:c r="F134" s="14" t="str">
        <x:v>Mandatory where applicable</x:v>
      </x:c>
      <x:c r="G134" s="14" t="str">
        <x:v>High</x:v>
      </x:c>
      <x:c r="H134" s="14" t="str"/>
      <x:c r="I134" s="16" t="str"/>
      <x:c r="J134" s="16" t="str"/>
      <x:c r="K134" s="14" t="str"/>
      <x:c r="L134" s="14" t="str">
        <x:v>Not Started</x:v>
      </x:c>
      <x:c r="M134" s="16" t="str"/>
      <x:c r="N134" s="14" t="str">
        <x:v>ARCS-25012-ARC-SPC-09900 Rev 2</x:v>
      </x:c>
      <x:c r="O134" s="14" t="str">
        <x:v>0451 – 2.1 GENERAL / Samples</x:v>
      </x:c>
      <x:c r="P134" s="14" t="n">
        <x:v>189</x:v>
      </x:c>
      <x:c r="Q134" s="14" t="str">
        <x:v>ARCS-25012-ARC-SPC-09900 Rev 2 | 0451 – 2.1 GENERAL / Samples | PDF p.189</x:v>
      </x:c>
      <x:c r="R134" s="14" t="str">
        <x:v>Requirement: Provide samples labelled with the series code reference and date of manufacture.</x:v>
      </x:c>
      <x:c r="S134" s="14" t="str"/>
      <x:c r="T134" s="14" t="str"/>
    </x:row>
    <x:row r="135">
      <x:c r="A135" s="12" t="str">
        <x:v>SMP-134</x:v>
      </x:c>
      <x:c r="B135" s="12" t="str">
        <x:v>Architectural</x:v>
      </x:c>
      <x:c r="C135" s="12" t="str">
        <x:v>Windows &amp; glazed doors</x:v>
      </x:c>
      <x:c r="D135" s="14" t="str">
        <x:v>Window glazing – surface modified / coated</x:v>
      </x:c>
      <x:c r="E135" s="14" t="str">
        <x:v>At least 200 x 200 mm.</x:v>
      </x:c>
      <x:c r="F135" s="14" t="str">
        <x:v>Mandatory where applicable</x:v>
      </x:c>
      <x:c r="G135" s="14" t="str">
        <x:v>High</x:v>
      </x:c>
      <x:c r="H135" s="14" t="str"/>
      <x:c r="I135" s="16" t="str"/>
      <x:c r="J135" s="16" t="str"/>
      <x:c r="K135" s="14" t="str"/>
      <x:c r="L135" s="14" t="str">
        <x:v>Not Started</x:v>
      </x:c>
      <x:c r="M135" s="16" t="str"/>
      <x:c r="N135" s="14" t="str">
        <x:v>ARCS-25012-ARC-SPC-09900 Rev 2</x:v>
      </x:c>
      <x:c r="O135" s="14" t="str">
        <x:v>0451 – 2.1 GENERAL / Samples</x:v>
      </x:c>
      <x:c r="P135" s="14" t="n">
        <x:v>189</x:v>
      </x:c>
      <x:c r="Q135" s="14" t="str">
        <x:v>ARCS-25012-ARC-SPC-09900 Rev 2 | 0451 – 2.1 GENERAL / Samples | PDF p.189</x:v>
      </x:c>
      <x:c r="R135" s="14" t="str">
        <x:v>Requirement: Provide samples labelled with the series code reference and date of manufacture.</x:v>
      </x:c>
      <x:c r="S135" s="14" t="str"/>
      <x:c r="T135" s="14" t="str"/>
    </x:row>
    <x:row r="136">
      <x:c r="A136" s="12" t="str">
        <x:v>SMP-135</x:v>
      </x:c>
      <x:c r="B136" s="12" t="str">
        <x:v>Architectural</x:v>
      </x:c>
      <x:c r="C136" s="12" t="str">
        <x:v>Windows &amp; glazed doors</x:v>
      </x:c>
      <x:c r="D136" s="14" t="str">
        <x:v>Window glazing – tinted / coloured</x:v>
      </x:c>
      <x:c r="E136" s="14" t="str">
        <x:v>At least 200 x 200 mm.</x:v>
      </x:c>
      <x:c r="F136" s="14" t="str">
        <x:v>Mandatory where applicable</x:v>
      </x:c>
      <x:c r="G136" s="14" t="str">
        <x:v>High</x:v>
      </x:c>
      <x:c r="H136" s="14" t="str"/>
      <x:c r="I136" s="16" t="str"/>
      <x:c r="J136" s="16" t="str"/>
      <x:c r="K136" s="14" t="str"/>
      <x:c r="L136" s="14" t="str">
        <x:v>Not Started</x:v>
      </x:c>
      <x:c r="M136" s="16" t="str"/>
      <x:c r="N136" s="14" t="str">
        <x:v>ARCS-25012-ARC-SPC-09900 Rev 2</x:v>
      </x:c>
      <x:c r="O136" s="14" t="str">
        <x:v>0451 – 2.1 GENERAL / Samples</x:v>
      </x:c>
      <x:c r="P136" s="14" t="n">
        <x:v>189</x:v>
      </x:c>
      <x:c r="Q136" s="14" t="str">
        <x:v>ARCS-25012-ARC-SPC-09900 Rev 2 | 0451 – 2.1 GENERAL / Samples | PDF p.189</x:v>
      </x:c>
      <x:c r="R136" s="14" t="str">
        <x:v>Requirement: Provide samples labelled with the series code reference and date of manufacture.</x:v>
      </x:c>
      <x:c r="S136" s="14" t="str"/>
      <x:c r="T136" s="14" t="str"/>
    </x:row>
    <x:row r="137">
      <x:c r="A137" s="12" t="str">
        <x:v>SMP-136</x:v>
      </x:c>
      <x:c r="B137" s="12" t="str">
        <x:v>Architectural</x:v>
      </x:c>
      <x:c r="C137" s="12" t="str">
        <x:v>Windows &amp; glazed doors</x:v>
      </x:c>
      <x:c r="D137" s="14" t="str">
        <x:v>Window glazing – wired</x:v>
      </x:c>
      <x:c r="E137" s="14" t="str">
        <x:v>At least 200 x 200 mm.</x:v>
      </x:c>
      <x:c r="F137" s="14" t="str">
        <x:v>Mandatory where applicable</x:v>
      </x:c>
      <x:c r="G137" s="14" t="str">
        <x:v>High</x:v>
      </x:c>
      <x:c r="H137" s="14" t="str"/>
      <x:c r="I137" s="16" t="str"/>
      <x:c r="J137" s="16" t="str"/>
      <x:c r="K137" s="14" t="str"/>
      <x:c r="L137" s="14" t="str">
        <x:v>Not Started</x:v>
      </x:c>
      <x:c r="M137" s="16" t="str"/>
      <x:c r="N137" s="14" t="str">
        <x:v>ARCS-25012-ARC-SPC-09900 Rev 2</x:v>
      </x:c>
      <x:c r="O137" s="14" t="str">
        <x:v>0451 – 2.1 GENERAL / Samples</x:v>
      </x:c>
      <x:c r="P137" s="14" t="n">
        <x:v>189</x:v>
      </x:c>
      <x:c r="Q137" s="14" t="str">
        <x:v>ARCS-25012-ARC-SPC-09900 Rev 2 | 0451 – 2.1 GENERAL / Samples | PDF p.189</x:v>
      </x:c>
      <x:c r="R137" s="14" t="str">
        <x:v>Requirement: Provide samples labelled with the series code reference and date of manufacture.</x:v>
      </x:c>
      <x:c r="S137" s="14" t="str"/>
      <x:c r="T137" s="14" t="str"/>
    </x:row>
    <x:row r="138">
      <x:c r="A138" s="12" t="str">
        <x:v>SMP-137</x:v>
      </x:c>
      <x:c r="B138" s="12" t="str">
        <x:v>Architectural</x:v>
      </x:c>
      <x:c r="C138" s="12" t="str">
        <x:v>Windows &amp; glazed doors</x:v>
      </x:c>
      <x:c r="D138" s="14" t="str">
        <x:v>Window standard hardware / accessories</x:v>
      </x:c>
      <x:c r="E138" s="14" t="str">
        <x:v>Locks, latches, handles, catches, sash operators, anchor brackets/attachments, masonry anchors and weatherseals.</x:v>
      </x:c>
      <x:c r="F138" s="14" t="str">
        <x:v>Mandatory where applicable</x:v>
      </x:c>
      <x:c r="G138" s="14" t="str">
        <x:v>High</x:v>
      </x:c>
      <x:c r="H138" s="14" t="str"/>
      <x:c r="I138" s="16" t="str"/>
      <x:c r="J138" s="16" t="str"/>
      <x:c r="K138" s="14" t="str"/>
      <x:c r="L138" s="14" t="str">
        <x:v>Not Started</x:v>
      </x:c>
      <x:c r="M138" s="16" t="str"/>
      <x:c r="N138" s="14" t="str">
        <x:v>ARCS-25012-ARC-SPC-09900 Rev 2</x:v>
      </x:c>
      <x:c r="O138" s="14" t="str">
        <x:v>0451 – 2.1 GENERAL / Samples</x:v>
      </x:c>
      <x:c r="P138" s="14" t="n">
        <x:v>189</x:v>
      </x:c>
      <x:c r="Q138" s="14" t="str">
        <x:v>ARCS-25012-ARC-SPC-09900 Rev 2 | 0451 – 2.1 GENERAL / Samples | PDF p.189</x:v>
      </x:c>
      <x:c r="R138" s="14" t="str">
        <x:v>Requirement: Provide samples labelled with the series code reference and date of manufacture.</x:v>
      </x:c>
      <x:c r="S138" s="14" t="str"/>
      <x:c r="T138" s="14" t="str"/>
    </x:row>
    <x:row r="139">
      <x:c r="A139" s="12" t="str">
        <x:v>SMP-138</x:v>
      </x:c>
      <x:c r="B139" s="12" t="str">
        <x:v>Structural</x:v>
      </x:c>
      <x:c r="C139" s="12" t="str">
        <x:v>Concrete</x:v>
      </x:c>
      <x:c r="D139" s="14" t="str">
        <x:v>Coloured concrete blocks</x:v>
      </x:c>
      <x:c r="E139" s="14" t="str">
        <x:v>4 blocks, nominal 300 x 300 x 50 mm, using proposed mix and casting method.</x:v>
      </x:c>
      <x:c r="F139" s="14" t="str">
        <x:v>Mandatory</x:v>
      </x:c>
      <x:c r="G139" s="14" t="str">
        <x:v>High</x:v>
      </x:c>
      <x:c r="H139" s="14" t="str"/>
      <x:c r="I139" s="16" t="str"/>
      <x:c r="J139" s="16" t="str"/>
      <x:c r="K139" s="14" t="str"/>
      <x:c r="L139" s="14" t="str">
        <x:v>Not Started</x:v>
      </x:c>
      <x:c r="M139" s="16" t="str"/>
      <x:c r="N139" s="14" t="str">
        <x:v>ARCS-25012-ARC-SPC-09900 Rev 2</x:v>
      </x:c>
      <x:c r="O139" s="14" t="str">
        <x:v>0310 – 2.1 GENERAL / Samples</x:v>
      </x:c>
      <x:c r="P139" s="14" t="n">
        <x:v>94</x:v>
      </x:c>
      <x:c r="Q139" s="14" t="str">
        <x:v>ARCS-25012-ARC-SPC-09900 Rev 2 | 0310 – 2.1 GENERAL / Samples | PDF p.94</x:v>
      </x:c>
      <x:c r="R139" s="14" t="str">
        <x:v>Sample blocks of coloured concrete produced using the proposed mix and casting method before casting final concrete</x:v>
      </x:c>
      <x:c r="S139" s="14" t="str"/>
      <x:c r="T139" s="14" t="str"/>
    </x:row>
    <x:row r="140">
      <x:c r="A140" s="12" t="str">
        <x:v>SMP-139</x:v>
      </x:c>
      <x:c r="B140" s="12" t="str">
        <x:v>Structural</x:v>
      </x:c>
      <x:c r="C140" s="12" t="str">
        <x:v>Concrete</x:v>
      </x:c>
      <x:c r="D140" s="14" t="str">
        <x:v>Coloured concrete blocks – structural cross-check</x:v>
      </x:c>
      <x:c r="E140" s="14" t="str">
        <x:v>4 blocks, nominal 300 x 300 x 50 mm, proposed mix/method.</x:v>
      </x:c>
      <x:c r="F140" s="14" t="str">
        <x:v>Duplicate cross-check</x:v>
      </x:c>
      <x:c r="G140" s="14" t="str">
        <x:v>Normal</x:v>
      </x:c>
      <x:c r="H140" s="14" t="str"/>
      <x:c r="I140" s="16" t="str"/>
      <x:c r="J140" s="16" t="str"/>
      <x:c r="K140" s="14" t="str"/>
      <x:c r="L140" s="14" t="str">
        <x:v>Not Started</x:v>
      </x:c>
      <x:c r="M140" s="16" t="str"/>
      <x:c r="N140" s="14" t="str">
        <x:v>25-136-SPEC-STR-01 Rev 0</x:v>
      </x:c>
      <x:c r="O140" s="14" t="str">
        <x:v>Concrete submissions / Samples</x:v>
      </x:c>
      <x:c r="P140" s="14" t="n">
        <x:v>7</x:v>
      </x:c>
      <x:c r="Q140" s="14" t="str">
        <x:v>25-136-SPEC-STR-01 Rev 0 | Concrete submissions / Samples | PDF p.7</x:v>
      </x:c>
      <x:c r="R140" s="14" t="str">
        <x:v>Coloured concrete: Submit sample blocks of coloured concrete produced using the proposed mix and method before casting final concrete</x:v>
      </x:c>
      <x:c r="S140" s="14" t="str">
        <x:v>Same substantive obligation captured under architectural spec 0310.</x:v>
      </x:c>
      <x:c r="T140" s="14" t="str"/>
    </x:row>
    <x:row r="141">
      <x:c r="A141" s="12" t="str">
        <x:v>SMP-140</x:v>
      </x:c>
      <x:c r="B141" s="12" t="str">
        <x:v>Structural</x:v>
      </x:c>
      <x:c r="C141" s="12" t="str">
        <x:v>Concrete</x:v>
      </x:c>
      <x:c r="D141" s="14" t="str">
        <x:v>Duct-forming material</x:v>
      </x:c>
      <x:c r="E141" s="14" t="str">
        <x:v>Sample of proposed duct-forming material.</x:v>
      </x:c>
      <x:c r="F141" s="14" t="str">
        <x:v>Mandatory</x:v>
      </x:c>
      <x:c r="G141" s="14" t="str">
        <x:v>High</x:v>
      </x:c>
      <x:c r="H141" s="14" t="str"/>
      <x:c r="I141" s="16" t="str"/>
      <x:c r="J141" s="16" t="str"/>
      <x:c r="K141" s="14" t="str"/>
      <x:c r="L141" s="14" t="str">
        <x:v>Not Started</x:v>
      </x:c>
      <x:c r="M141" s="16" t="str"/>
      <x:c r="N141" s="14" t="str">
        <x:v>ARCS-25012-ARC-SPC-09900 Rev 2</x:v>
      </x:c>
      <x:c r="O141" s="14" t="str">
        <x:v>0310 – 2.1 GENERAL / Samples</x:v>
      </x:c>
      <x:c r="P141" s="14" t="n">
        <x:v>94</x:v>
      </x:c>
      <x:c r="Q141" s="14" t="str">
        <x:v>ARCS-25012-ARC-SPC-09900 Rev 2 | 0310 – 2.1 GENERAL / Samples | PDF p.94</x:v>
      </x:c>
      <x:c r="R141" s="14" t="str">
        <x:v>Sample blocks of coloured concrete produced using the proposed mix and casting method before casting final concrete</x:v>
      </x:c>
      <x:c r="S141" s="14" t="str"/>
      <x:c r="T141" s="14" t="str"/>
    </x:row>
    <x:row r="142">
      <x:c r="A142" s="12" t="str">
        <x:v>SMP-141</x:v>
      </x:c>
      <x:c r="B142" s="12" t="str">
        <x:v>Structural</x:v>
      </x:c>
      <x:c r="C142" s="12" t="str">
        <x:v>Concrete</x:v>
      </x:c>
      <x:c r="D142" s="14" t="str">
        <x:v>Duct-forming material – structural cross-check</x:v>
      </x:c>
      <x:c r="E142" s="14" t="str">
        <x:v>Sample proposed material.</x:v>
      </x:c>
      <x:c r="F142" s="14" t="str">
        <x:v>Duplicate cross-check</x:v>
      </x:c>
      <x:c r="G142" s="14" t="str">
        <x:v>Normal</x:v>
      </x:c>
      <x:c r="H142" s="14" t="str"/>
      <x:c r="I142" s="16" t="str"/>
      <x:c r="J142" s="16" t="str"/>
      <x:c r="K142" s="14" t="str"/>
      <x:c r="L142" s="14" t="str">
        <x:v>Not Started</x:v>
      </x:c>
      <x:c r="M142" s="16" t="str"/>
      <x:c r="N142" s="14" t="str">
        <x:v>25-136-SPEC-STR-01 Rev 0</x:v>
      </x:c>
      <x:c r="O142" s="14" t="str">
        <x:v>Concrete product submissions</x:v>
      </x:c>
      <x:c r="P142" s="14" t="n">
        <x:v>6</x:v>
      </x:c>
      <x:c r="Q142" s="14" t="str">
        <x:v>25-136-SPEC-STR-01 Rev 0 | Concrete product submissions | PDF p.6</x:v>
      </x:c>
      <x:c r="R142" s="14" t="str">
        <x:v>Duct-forming material: Samples of proposed material.</x:v>
      </x:c>
      <x:c r="S142" s="14" t="str">
        <x:v>Same substantive obligation captured under architectural spec 0310.</x:v>
      </x:c>
      <x:c r="T142" s="14" t="str"/>
    </x:row>
    <x:row r="143">
      <x:c r="A143" s="12" t="str">
        <x:v>SMP-142</x:v>
      </x:c>
      <x:c r="B143" s="12" t="str">
        <x:v>Structural</x:v>
      </x:c>
      <x:c r="C143" s="12" t="str">
        <x:v>Protective coatings</x:v>
      </x:c>
      <x:c r="D143" s="14" t="str">
        <x:v>Structural steel protective coating systems</x:v>
      </x:c>
      <x:c r="E143" s="14" t="str">
        <x:v>Sample of EACH coating system showing colour and physical properties; minimum 400 x 400 mm; retain for comparison.</x:v>
      </x:c>
      <x:c r="F143" s="14" t="str">
        <x:v>Mandatory</x:v>
      </x:c>
      <x:c r="G143" s="14" t="str">
        <x:v>High</x:v>
      </x:c>
      <x:c r="H143" s="14" t="str"/>
      <x:c r="I143" s="16" t="str"/>
      <x:c r="J143" s="16" t="str"/>
      <x:c r="K143" s="14" t="str"/>
      <x:c r="L143" s="14" t="str">
        <x:v>Not Started</x:v>
      </x:c>
      <x:c r="M143" s="16" t="str"/>
      <x:c r="N143" s="14" t="str">
        <x:v>ARCS-25012-ARC-SPC-09900 Rev 2</x:v>
      </x:c>
      <x:c r="O143" s="14" t="str">
        <x:v>0345 – 2.1 GENERAL / Samples</x:v>
      </x:c>
      <x:c r="P143" s="14" t="n">
        <x:v>132</x:v>
      </x:c>
      <x:c r="Q143" s="14" t="str">
        <x:v>ARCS-25012-ARC-SPC-09900 Rev 2 | 0345 – 2.1 GENERAL / Samples | PDF p.132</x:v>
      </x:c>
      <x:c r="R143" s="14" t="str">
        <x:v>Provide samples of each coating system, showing the painting and coating colour, and other physical properties.</x:v>
      </x:c>
      <x:c r="S143" s="14" t="str"/>
      <x:c r="T143" s="14" t="str"/>
    </x:row>
    <x:row r="144">
      <x:c r="A144" s="12" t="str">
        <x:v>SMP-143</x:v>
      </x:c>
      <x:c r="B144" s="12" t="str">
        <x:v>Structural</x:v>
      </x:c>
      <x:c r="C144" s="12" t="str">
        <x:v>Structural fire protection</x:v>
      </x:c>
      <x:c r="D144" s="14" t="str">
        <x:v>Structural fire protection systems</x:v>
      </x:c>
      <x:c r="E144" s="14" t="str">
        <x:v>Sample of EACH system showing thickness, density, colour, texture and support type.</x:v>
      </x:c>
      <x:c r="F144" s="14" t="str">
        <x:v>Mandatory</x:v>
      </x:c>
      <x:c r="G144" s="14" t="str">
        <x:v>High</x:v>
      </x:c>
      <x:c r="H144" s="14" t="str"/>
      <x:c r="I144" s="16" t="str"/>
      <x:c r="J144" s="16" t="str"/>
      <x:c r="K144" s="14" t="str"/>
      <x:c r="L144" s="14" t="str">
        <x:v>Not Started</x:v>
      </x:c>
      <x:c r="M144" s="16" t="str"/>
      <x:c r="N144" s="14" t="str">
        <x:v>ARCS-25012-ARC-SPC-09900 Rev 2</x:v>
      </x:c>
      <x:c r="O144" s="14" t="str">
        <x:v>0346 – 2.1 GENERAL / Samples</x:v>
      </x:c>
      <x:c r="P144" s="14" t="n">
        <x:v>140</x:v>
      </x:c>
      <x:c r="Q144" s="14" t="str">
        <x:v>ARCS-25012-ARC-SPC-09900 Rev 2 | 0346 – 2.1 GENERAL / Samples | PDF p.140</x:v>
      </x:c>
      <x:c r="R144" s="14" t="str">
        <x:v>Provide samples of each structural fire protection system, showing the thickness, density, colour, texture and support type.</x:v>
      </x:c>
      <x:c r="S144" s="14" t="str"/>
      <x:c r="T144" s="14" t="str"/>
    </x:row>
    <x:row r="145">
      <x:c r="A145" s="12" t="str">
        <x:v>SMP-144</x:v>
      </x:c>
      <x:c r="B145" s="12" t="str">
        <x:v>Structural</x:v>
      </x:c>
      <x:c r="C145" s="12" t="str">
        <x:v>Structural steel</x:v>
      </x:c>
      <x:c r="D145" s="14" t="str">
        <x:v>AESS</x:v>
      </x:c>
      <x:c r="E145" s="14" t="str">
        <x:v>Minimum 0.1 m², where documented.</x:v>
      </x:c>
      <x:c r="F145" s="14" t="str">
        <x:v>Conditional / where documented</x:v>
      </x:c>
      <x:c r="G145" s="14" t="str">
        <x:v>High</x:v>
      </x:c>
      <x:c r="H145" s="14" t="str"/>
      <x:c r="I145" s="16" t="str"/>
      <x:c r="J145" s="16" t="str"/>
      <x:c r="K145" s="14" t="str"/>
      <x:c r="L145" s="14" t="str">
        <x:v>Not Started</x:v>
      </x:c>
      <x:c r="M145" s="16" t="str"/>
      <x:c r="N145" s="14" t="str">
        <x:v>ARCS-25012-ARC-SPC-09900 Rev 2</x:v>
      </x:c>
      <x:c r="O145" s="14" t="str">
        <x:v>0341 – 2.1 GENERAL / Samples</x:v>
      </x:c>
      <x:c r="P145" s="14" t="n">
        <x:v>93</x:v>
      </x:c>
      <x:c r="Q145" s="14" t="str">
        <x:v>ARCS-25012-ARC-SPC-09900 Rev 2 | 0341 – 2.1 GENERAL / Samples | PDF p.93</x:v>
      </x:c>
      <x:c r="R145" s="14" t="str">
        <x:v>Requirement: Provide samples, as follows:</x:v>
      </x:c>
      <x:c r="S145" s="14" t="str"/>
      <x:c r="T145" s="14" t="str"/>
    </x:row>
    <x:row r="146">
      <x:c r="A146" s="12" t="str">
        <x:v>SMP-145</x:v>
      </x:c>
      <x:c r="B146" s="12" t="str">
        <x:v>Structural</x:v>
      </x:c>
      <x:c r="C146" s="12" t="str">
        <x:v>Structural steel</x:v>
      </x:c>
      <x:c r="D146" s="14" t="str">
        <x:v>Special finishes to finished steel</x:v>
      </x:c>
      <x:c r="E146" s="14" t="str">
        <x:v>Minimum 0.1 m², where documented.</x:v>
      </x:c>
      <x:c r="F146" s="14" t="str">
        <x:v>Conditional / where documented</x:v>
      </x:c>
      <x:c r="G146" s="14" t="str">
        <x:v>High</x:v>
      </x:c>
      <x:c r="H146" s="14" t="str"/>
      <x:c r="I146" s="16" t="str"/>
      <x:c r="J146" s="16" t="str"/>
      <x:c r="K146" s="14" t="str"/>
      <x:c r="L146" s="14" t="str">
        <x:v>Not Started</x:v>
      </x:c>
      <x:c r="M146" s="16" t="str"/>
      <x:c r="N146" s="14" t="str">
        <x:v>ARCS-25012-ARC-SPC-09900 Rev 2</x:v>
      </x:c>
      <x:c r="O146" s="14" t="str">
        <x:v>0341 – 2.1 GENERAL / Samples</x:v>
      </x:c>
      <x:c r="P146" s="14" t="n">
        <x:v>93</x:v>
      </x:c>
      <x:c r="Q146" s="14" t="str">
        <x:v>ARCS-25012-ARC-SPC-09900 Rev 2 | 0341 – 2.1 GENERAL / Samples | PDF p.93</x:v>
      </x:c>
      <x:c r="R146" s="14" t="str">
        <x:v>Requirement: Provide samples, as follows:</x:v>
      </x:c>
      <x:c r="S146" s="14" t="str"/>
      <x:c r="T146" s="14" t="str"/>
    </x:row>
    <x:row r="147">
      <x:c r="A147" s="12" t="str">
        <x:v>SMP-146</x:v>
      </x:c>
      <x:c r="B147" s="12" t="str">
        <x:v>Electrical</x:v>
      </x:c>
      <x:c r="C147" s="12" t="str">
        <x:v>Electrical</x:v>
      </x:c>
      <x:c r="D147" s="14" t="str">
        <x:v>Floor box</x:v>
      </x:c>
      <x:c r="E147" s="14" t="str">
        <x:v>One sample.</x:v>
      </x:c>
      <x:c r="F147" s="14" t="str">
        <x:v>Conditional – if required by Architect</x:v>
      </x:c>
      <x:c r="G147" s="14" t="str">
        <x:v>High</x:v>
      </x:c>
      <x:c r="H147" s="14" t="str"/>
      <x:c r="I147" s="16" t="str"/>
      <x:c r="J147" s="16" t="str"/>
      <x:c r="K147" s="14" t="str"/>
      <x:c r="L147" s="14" t="str">
        <x:v>Not Started</x:v>
      </x:c>
      <x:c r="M147" s="16" t="str"/>
      <x:c r="N147" s="14" t="str">
        <x:v>AURC-25012-ELE-SPC-000001 Rev 5</x:v>
      </x:c>
      <x:c r="O147" s="14" t="str">
        <x:v>2.2.2 Samples</x:v>
      </x:c>
      <x:c r="P147" s="14" t="n">
        <x:v>8</x:v>
      </x:c>
      <x:c r="Q147" s="14" t="str">
        <x:v>AURC-25012-ELE-SPC-000001 Rev 5 | 2.2.2 Samples | PDF p.8</x:v>
      </x:c>
      <x:c r="R147" s="14" t="str">
        <x:v>Submit one sample of the following for review post technical submission prior to order if required by the architect:</x:v>
      </x:c>
      <x:c r="S147" s="14" t="str"/>
      <x:c r="T147" s="14" t="str"/>
    </x:row>
    <x:row r="148">
      <x:c r="A148" s="12" t="str">
        <x:v>SMP-147</x:v>
      </x:c>
      <x:c r="B148" s="12" t="str">
        <x:v>Electrical</x:v>
      </x:c>
      <x:c r="C148" s="12" t="str">
        <x:v>Electrical</x:v>
      </x:c>
      <x:c r="D148" s="14" t="str">
        <x:v>Horn speaker</x:v>
      </x:c>
      <x:c r="E148" s="14" t="str">
        <x:v>One sample.</x:v>
      </x:c>
      <x:c r="F148" s="14" t="str">
        <x:v>Conditional – if required by Architect</x:v>
      </x:c>
      <x:c r="G148" s="14" t="str">
        <x:v>High</x:v>
      </x:c>
      <x:c r="H148" s="14" t="str"/>
      <x:c r="I148" s="16" t="str"/>
      <x:c r="J148" s="16" t="str"/>
      <x:c r="K148" s="14" t="str"/>
      <x:c r="L148" s="14" t="str">
        <x:v>Not Started</x:v>
      </x:c>
      <x:c r="M148" s="16" t="str"/>
      <x:c r="N148" s="14" t="str">
        <x:v>AURC-25012-ELE-SPC-000001 Rev 5</x:v>
      </x:c>
      <x:c r="O148" s="14" t="str">
        <x:v>2.2.2 Samples</x:v>
      </x:c>
      <x:c r="P148" s="14" t="n">
        <x:v>8</x:v>
      </x:c>
      <x:c r="Q148" s="14" t="str">
        <x:v>AURC-25012-ELE-SPC-000001 Rev 5 | 2.2.2 Samples | PDF p.8</x:v>
      </x:c>
      <x:c r="R148" s="14" t="str">
        <x:v>Submit one sample of the following for review post technical submission prior to order if required by the architect:</x:v>
      </x:c>
      <x:c r="S148" s="14" t="str"/>
      <x:c r="T148" s="14" t="str"/>
    </x:row>
    <x:row r="149">
      <x:c r="A149" s="12" t="str">
        <x:v>SMP-148</x:v>
      </x:c>
      <x:c r="B149" s="12" t="str">
        <x:v>Electrical</x:v>
      </x:c>
      <x:c r="C149" s="12" t="str">
        <x:v>Electrical</x:v>
      </x:c>
      <x:c r="D149" s="14" t="str">
        <x:v>New light fitting – each type</x:v>
      </x:c>
      <x:c r="E149" s="14" t="str">
        <x:v>One sample.</x:v>
      </x:c>
      <x:c r="F149" s="14" t="str">
        <x:v>Conditional – if required by Architect</x:v>
      </x:c>
      <x:c r="G149" s="14" t="str">
        <x:v>High</x:v>
      </x:c>
      <x:c r="H149" s="14" t="str"/>
      <x:c r="I149" s="16" t="str"/>
      <x:c r="J149" s="16" t="str"/>
      <x:c r="K149" s="14" t="str"/>
      <x:c r="L149" s="14" t="str">
        <x:v>Not Started</x:v>
      </x:c>
      <x:c r="M149" s="16" t="str"/>
      <x:c r="N149" s="14" t="str">
        <x:v>AURC-25012-ELE-SPC-000001 Rev 5</x:v>
      </x:c>
      <x:c r="O149" s="14" t="str">
        <x:v>2.2.2 Samples</x:v>
      </x:c>
      <x:c r="P149" s="14" t="n">
        <x:v>8</x:v>
      </x:c>
      <x:c r="Q149" s="14" t="str">
        <x:v>AURC-25012-ELE-SPC-000001 Rev 5 | 2.2.2 Samples | PDF p.8</x:v>
      </x:c>
      <x:c r="R149" s="14" t="str">
        <x:v>Submit one sample of the following for review post technical submission prior to order if required by the architect:</x:v>
      </x:c>
      <x:c r="S149" s="14" t="str"/>
      <x:c r="T149" s="14" t="str"/>
    </x:row>
    <x:row r="150">
      <x:c r="A150" s="12" t="str">
        <x:v>SMP-149</x:v>
      </x:c>
      <x:c r="B150" s="12" t="str">
        <x:v>Electrical</x:v>
      </x:c>
      <x:c r="C150" s="12" t="str">
        <x:v>Electrical</x:v>
      </x:c>
      <x:c r="D150" s="14" t="str">
        <x:v>New power/data accessory – each type</x:v>
      </x:c>
      <x:c r="E150" s="14" t="str">
        <x:v>One sample.</x:v>
      </x:c>
      <x:c r="F150" s="14" t="str">
        <x:v>Conditional – if required by Architect</x:v>
      </x:c>
      <x:c r="G150" s="14" t="str">
        <x:v>High</x:v>
      </x:c>
      <x:c r="H150" s="14" t="str"/>
      <x:c r="I150" s="16" t="str"/>
      <x:c r="J150" s="16" t="str"/>
      <x:c r="K150" s="14" t="str"/>
      <x:c r="L150" s="14" t="str">
        <x:v>Not Started</x:v>
      </x:c>
      <x:c r="M150" s="16" t="str"/>
      <x:c r="N150" s="14" t="str">
        <x:v>AURC-25012-ELE-SPC-000001 Rev 5</x:v>
      </x:c>
      <x:c r="O150" s="14" t="str">
        <x:v>2.2.2 Samples</x:v>
      </x:c>
      <x:c r="P150" s="14" t="n">
        <x:v>8</x:v>
      </x:c>
      <x:c r="Q150" s="14" t="str">
        <x:v>AURC-25012-ELE-SPC-000001 Rev 5 | 2.2.2 Samples | PDF p.8</x:v>
      </x:c>
      <x:c r="R150" s="14" t="str">
        <x:v>Submit one sample of the following for review post technical submission prior to order if required by the architect:</x:v>
      </x:c>
      <x:c r="S150" s="14" t="str"/>
      <x:c r="T150" s="14" t="str"/>
    </x:row>
    <x:row r="151">
      <x:c r="A151" s="12" t="str">
        <x:v>SMP-150</x:v>
      </x:c>
      <x:c r="B151" s="12" t="str">
        <x:v>Electrical</x:v>
      </x:c>
      <x:c r="C151" s="12" t="str">
        <x:v>Electrical</x:v>
      </x:c>
      <x:c r="D151" s="14" t="str">
        <x:v>Recessed speaker</x:v>
      </x:c>
      <x:c r="E151" s="14" t="str">
        <x:v>One sample.</x:v>
      </x:c>
      <x:c r="F151" s="14" t="str">
        <x:v>Conditional – if required by Architect</x:v>
      </x:c>
      <x:c r="G151" s="14" t="str">
        <x:v>High</x:v>
      </x:c>
      <x:c r="H151" s="14" t="str"/>
      <x:c r="I151" s="16" t="str"/>
      <x:c r="J151" s="16" t="str"/>
      <x:c r="K151" s="14" t="str"/>
      <x:c r="L151" s="14" t="str">
        <x:v>Not Started</x:v>
      </x:c>
      <x:c r="M151" s="16" t="str"/>
      <x:c r="N151" s="14" t="str">
        <x:v>AURC-25012-ELE-SPC-000001 Rev 5</x:v>
      </x:c>
      <x:c r="O151" s="14" t="str">
        <x:v>2.2.2 Samples</x:v>
      </x:c>
      <x:c r="P151" s="14" t="n">
        <x:v>8</x:v>
      </x:c>
      <x:c r="Q151" s="14" t="str">
        <x:v>AURC-25012-ELE-SPC-000001 Rev 5 | 2.2.2 Samples | PDF p.8</x:v>
      </x:c>
      <x:c r="R151" s="14" t="str">
        <x:v>Submit one sample of the following for review post technical submission prior to order if required by the architect:</x:v>
      </x:c>
      <x:c r="S151" s="14" t="str"/>
      <x:c r="T151" s="14" t="str"/>
    </x:row>
    <x:row r="152">
      <x:c r="A152" s="12" t="str">
        <x:v>SMP-151</x:v>
      </x:c>
      <x:c r="B152" s="12" t="str">
        <x:v>Hydraulic</x:v>
      </x:c>
      <x:c r="C152" s="12" t="str">
        <x:v>Hydraulic</x:v>
      </x:c>
      <x:c r="D152" s="14" t="str">
        <x:v>Floor grate</x:v>
      </x:c>
      <x:c r="E152" s="14" t="str">
        <x:v>Each designated item. Include electronic updated manufacturer data; two copies supporting docs; ancillary fasteners/flashings/seals.</x:v>
      </x:c>
      <x:c r="F152" s="14" t="str">
        <x:v>Mandatory</x:v>
      </x:c>
      <x:c r="G152" s="14" t="str">
        <x:v>High</x:v>
      </x:c>
      <x:c r="H152" s="14" t="str"/>
      <x:c r="I152" s="16" t="str"/>
      <x:c r="J152" s="16" t="str"/>
      <x:c r="K152" s="14" t="str"/>
      <x:c r="L152" s="14" t="str">
        <x:v>Not Started</x:v>
      </x:c>
      <x:c r="M152" s="16" t="str"/>
      <x:c r="N152" s="14" t="str">
        <x:v>AURC-25012-HYD-SPC-00001 Rev 2</x:v>
      </x:c>
      <x:c r="O152" s="14" t="str">
        <x:v>3.8.7 Samples for review</x:v>
      </x:c>
      <x:c r="P152" s="14" t="n">
        <x:v>26</x:v>
      </x:c>
      <x:c r="Q152" s="14" t="str">
        <x:v>AURC-25012-HYD-SPC-00001 Rev 2 | 3.8.7 Samples for review | PDF p.26</x:v>
      </x:c>
      <x:c r="R152" s="14" t="str">
        <x:v>Submission of samples of at least the following shall be provided.</x:v>
      </x:c>
      <x:c r="S152" s="14" t="str"/>
      <x:c r="T152" s="14" t="str"/>
    </x:row>
    <x:row r="153">
      <x:c r="A153" s="12" t="str">
        <x:v>SMP-152</x:v>
      </x:c>
      <x:c r="B153" s="12" t="str">
        <x:v>Hydraulic</x:v>
      </x:c>
      <x:c r="C153" s="12" t="str">
        <x:v>Hydraulic</x:v>
      </x:c>
      <x:c r="D153" s="14" t="str">
        <x:v>In-wall tundish</x:v>
      </x:c>
      <x:c r="E153" s="14" t="str">
        <x:v>Each designated item. Include electronic updated manufacturer data; two copies supporting docs; ancillary fasteners/flashings/seals.</x:v>
      </x:c>
      <x:c r="F153" s="14" t="str">
        <x:v>Mandatory</x:v>
      </x:c>
      <x:c r="G153" s="14" t="str">
        <x:v>High</x:v>
      </x:c>
      <x:c r="H153" s="14" t="str"/>
      <x:c r="I153" s="16" t="str"/>
      <x:c r="J153" s="16" t="str"/>
      <x:c r="K153" s="14" t="str"/>
      <x:c r="L153" s="14" t="str">
        <x:v>Not Started</x:v>
      </x:c>
      <x:c r="M153" s="16" t="str"/>
      <x:c r="N153" s="14" t="str">
        <x:v>AURC-25012-HYD-SPC-00001 Rev 2</x:v>
      </x:c>
      <x:c r="O153" s="14" t="str">
        <x:v>3.8.7 Samples for review</x:v>
      </x:c>
      <x:c r="P153" s="14" t="n">
        <x:v>26</x:v>
      </x:c>
      <x:c r="Q153" s="14" t="str">
        <x:v>AURC-25012-HYD-SPC-00001 Rev 2 | 3.8.7 Samples for review | PDF p.26</x:v>
      </x:c>
      <x:c r="R153" s="14" t="str">
        <x:v>Submission of samples of at least the following shall be provided.</x:v>
      </x:c>
      <x:c r="S153" s="14" t="str"/>
      <x:c r="T153" s="14" t="str"/>
    </x:row>
    <x:row r="154">
      <x:c r="A154" s="12" t="str">
        <x:v>SMP-153</x:v>
      </x:c>
      <x:c r="B154" s="12" t="str">
        <x:v>Hydraulic</x:v>
      </x:c>
      <x:c r="C154" s="12" t="str">
        <x:v>Hydraulic</x:v>
      </x:c>
      <x:c r="D154" s="14" t="str">
        <x:v>In-wall valve box</x:v>
      </x:c>
      <x:c r="E154" s="14" t="str">
        <x:v>Sample. Include electronic updated manufacturer data; two copies supporting docs; ancillary fasteners/flashings/seals.</x:v>
      </x:c>
      <x:c r="F154" s="14" t="str">
        <x:v>Mandatory</x:v>
      </x:c>
      <x:c r="G154" s="14" t="str">
        <x:v>High</x:v>
      </x:c>
      <x:c r="H154" s="14" t="str"/>
      <x:c r="I154" s="16" t="str"/>
      <x:c r="J154" s="16" t="str"/>
      <x:c r="K154" s="14" t="str"/>
      <x:c r="L154" s="14" t="str">
        <x:v>Not Started</x:v>
      </x:c>
      <x:c r="M154" s="16" t="str"/>
      <x:c r="N154" s="14" t="str">
        <x:v>AURC-25012-HYD-SPC-00001 Rev 2</x:v>
      </x:c>
      <x:c r="O154" s="14" t="str">
        <x:v>3.8.7 Samples for review</x:v>
      </x:c>
      <x:c r="P154" s="14" t="n">
        <x:v>26</x:v>
      </x:c>
      <x:c r="Q154" s="14" t="str">
        <x:v>AURC-25012-HYD-SPC-00001 Rev 2 | 3.8.7 Samples for review | PDF p.26</x:v>
      </x:c>
      <x:c r="R154" s="14" t="str">
        <x:v>Submission of samples of at least the following shall be provided.</x:v>
      </x:c>
      <x:c r="S154" s="14" t="str"/>
      <x:c r="T154" s="14" t="str"/>
    </x:row>
    <x:row r="155">
      <x:c r="A155" s="12" t="str">
        <x:v>SMP-154</x:v>
      </x:c>
      <x:c r="B155" s="12" t="str">
        <x:v>Hydraulic</x:v>
      </x:c>
      <x:c r="C155" s="12" t="str">
        <x:v>Hydraulic</x:v>
      </x:c>
      <x:c r="D155" s="14" t="str">
        <x:v>Inspection point cover</x:v>
      </x:c>
      <x:c r="E155" s="14" t="str">
        <x:v>Each designated item. Include electronic updated manufacturer data; two copies supporting docs; ancillary fasteners/flashings/seals.</x:v>
      </x:c>
      <x:c r="F155" s="14" t="str">
        <x:v>Mandatory</x:v>
      </x:c>
      <x:c r="G155" s="14" t="str">
        <x:v>High</x:v>
      </x:c>
      <x:c r="H155" s="14" t="str"/>
      <x:c r="I155" s="16" t="str"/>
      <x:c r="J155" s="16" t="str"/>
      <x:c r="K155" s="14" t="str"/>
      <x:c r="L155" s="14" t="str">
        <x:v>Not Started</x:v>
      </x:c>
      <x:c r="M155" s="16" t="str"/>
      <x:c r="N155" s="14" t="str">
        <x:v>AURC-25012-HYD-SPC-00001 Rev 2</x:v>
      </x:c>
      <x:c r="O155" s="14" t="str">
        <x:v>3.8.7 Samples for review</x:v>
      </x:c>
      <x:c r="P155" s="14" t="n">
        <x:v>26</x:v>
      </x:c>
      <x:c r="Q155" s="14" t="str">
        <x:v>AURC-25012-HYD-SPC-00001 Rev 2 | 3.8.7 Samples for review | PDF p.26</x:v>
      </x:c>
      <x:c r="R155" s="14" t="str">
        <x:v>Submission of samples of at least the following shall be provided.</x:v>
      </x:c>
      <x:c r="S155" s="14" t="str"/>
      <x:c r="T155" s="14" t="str"/>
    </x:row>
    <x:row r="156">
      <x:c r="A156" s="12" t="str">
        <x:v>SMP-155</x:v>
      </x:c>
      <x:c r="B156" s="12" t="str">
        <x:v>Hydraulic</x:v>
      </x:c>
      <x:c r="C156" s="12" t="str">
        <x:v>Hydraulic</x:v>
      </x:c>
      <x:c r="D156" s="14" t="str">
        <x:v>Longitudinal trench grate</x:v>
      </x:c>
      <x:c r="E156" s="14" t="str">
        <x:v>Each designated item. Include electronic updated manufacturer data; two copies supporting docs; ancillary fasteners/flashings/seals.</x:v>
      </x:c>
      <x:c r="F156" s="14" t="str">
        <x:v>Mandatory</x:v>
      </x:c>
      <x:c r="G156" s="14" t="str">
        <x:v>High</x:v>
      </x:c>
      <x:c r="H156" s="14" t="str"/>
      <x:c r="I156" s="16" t="str"/>
      <x:c r="J156" s="16" t="str"/>
      <x:c r="K156" s="14" t="str"/>
      <x:c r="L156" s="14" t="str">
        <x:v>Not Started</x:v>
      </x:c>
      <x:c r="M156" s="16" t="str"/>
      <x:c r="N156" s="14" t="str">
        <x:v>AURC-25012-HYD-SPC-00001 Rev 2</x:v>
      </x:c>
      <x:c r="O156" s="14" t="str">
        <x:v>3.8.7 Samples for review</x:v>
      </x:c>
      <x:c r="P156" s="14" t="n">
        <x:v>26</x:v>
      </x:c>
      <x:c r="Q156" s="14" t="str">
        <x:v>AURC-25012-HYD-SPC-00001 Rev 2 | 3.8.7 Samples for review | PDF p.26</x:v>
      </x:c>
      <x:c r="R156" s="14" t="str">
        <x:v>Submission of samples of at least the following shall be provided.</x:v>
      </x:c>
      <x:c r="S156" s="14" t="str"/>
      <x:c r="T156" s="14" t="str"/>
    </x:row>
    <x:row r="157">
      <x:c r="A157" s="12" t="str">
        <x:v>SMP-156</x:v>
      </x:c>
      <x:c r="B157" s="12" t="str">
        <x:v>Hydraulic</x:v>
      </x:c>
      <x:c r="C157" s="12" t="str">
        <x:v>Hydraulic</x:v>
      </x:c>
      <x:c r="D157" s="14" t="str">
        <x:v>Rainwater / grated outlet</x:v>
      </x:c>
      <x:c r="E157" s="14" t="str">
        <x:v>Each designated item. Include electronic updated manufacturer data; two copies supporting docs; ancillary fasteners/flashings/seals.</x:v>
      </x:c>
      <x:c r="F157" s="14" t="str">
        <x:v>Mandatory</x:v>
      </x:c>
      <x:c r="G157" s="14" t="str">
        <x:v>High</x:v>
      </x:c>
      <x:c r="H157" s="14" t="str"/>
      <x:c r="I157" s="16" t="str"/>
      <x:c r="J157" s="16" t="str"/>
      <x:c r="K157" s="14" t="str"/>
      <x:c r="L157" s="14" t="str">
        <x:v>Not Started</x:v>
      </x:c>
      <x:c r="M157" s="16" t="str"/>
      <x:c r="N157" s="14" t="str">
        <x:v>AURC-25012-HYD-SPC-00001 Rev 2</x:v>
      </x:c>
      <x:c r="O157" s="14" t="str">
        <x:v>3.8.7 Samples for review</x:v>
      </x:c>
      <x:c r="P157" s="14" t="n">
        <x:v>26</x:v>
      </x:c>
      <x:c r="Q157" s="14" t="str">
        <x:v>AURC-25012-HYD-SPC-00001 Rev 2 | 3.8.7 Samples for review | PDF p.26</x:v>
      </x:c>
      <x:c r="R157" s="14" t="str">
        <x:v>Submission of samples of at least the following shall be provided.</x:v>
      </x:c>
      <x:c r="S157" s="14" t="str"/>
      <x:c r="T157" s="14" t="str"/>
    </x:row>
    <x:row r="158">
      <x:c r="A158" s="12" t="str">
        <x:v>SMP-157</x:v>
      </x:c>
      <x:c r="B158" s="12" t="str">
        <x:v>Hydraulic</x:v>
      </x:c>
      <x:c r="C158" s="12" t="str">
        <x:v>Hydraulic</x:v>
      </x:c>
      <x:c r="D158" s="14" t="str">
        <x:v>Sanitary fixture</x:v>
      </x:c>
      <x:c r="E158" s="14" t="str">
        <x:v>Each designated item. Include electronic updated manufacturer data; two copies supporting docs; ancillary fasteners/flashings/seals.</x:v>
      </x:c>
      <x:c r="F158" s="14" t="str">
        <x:v>Mandatory</x:v>
      </x:c>
      <x:c r="G158" s="14" t="str">
        <x:v>High</x:v>
      </x:c>
      <x:c r="H158" s="14" t="str"/>
      <x:c r="I158" s="16" t="str"/>
      <x:c r="J158" s="16" t="str"/>
      <x:c r="K158" s="14" t="str"/>
      <x:c r="L158" s="14" t="str">
        <x:v>Not Started</x:v>
      </x:c>
      <x:c r="M158" s="16" t="str"/>
      <x:c r="N158" s="14" t="str">
        <x:v>AURC-25012-HYD-SPC-00001 Rev 2</x:v>
      </x:c>
      <x:c r="O158" s="14" t="str">
        <x:v>3.8.7 Samples for review</x:v>
      </x:c>
      <x:c r="P158" s="14" t="n">
        <x:v>26</x:v>
      </x:c>
      <x:c r="Q158" s="14" t="str">
        <x:v>AURC-25012-HYD-SPC-00001 Rev 2 | 3.8.7 Samples for review | PDF p.26</x:v>
      </x:c>
      <x:c r="R158" s="14" t="str">
        <x:v>Submission of samples of at least the following shall be provided.</x:v>
      </x:c>
      <x:c r="S158" s="14" t="str"/>
      <x:c r="T158" s="14" t="str"/>
    </x:row>
    <x:row r="159">
      <x:c r="A159" s="12" t="str">
        <x:v>SMP-158</x:v>
      </x:c>
      <x:c r="B159" s="12" t="str">
        <x:v>Hydraulic</x:v>
      </x:c>
      <x:c r="C159" s="12" t="str">
        <x:v>Hydraulic</x:v>
      </x:c>
      <x:c r="D159" s="14" t="str">
        <x:v>Tapware</x:v>
      </x:c>
      <x:c r="E159" s="14" t="str">
        <x:v>Each designated item. Include electronic updated manufacturer data; two copies supporting docs; ancillary fasteners/flashings/seals.</x:v>
      </x:c>
      <x:c r="F159" s="14" t="str">
        <x:v>Mandatory</x:v>
      </x:c>
      <x:c r="G159" s="14" t="str">
        <x:v>High</x:v>
      </x:c>
      <x:c r="H159" s="14" t="str"/>
      <x:c r="I159" s="16" t="str"/>
      <x:c r="J159" s="16" t="str"/>
      <x:c r="K159" s="14" t="str"/>
      <x:c r="L159" s="14" t="str">
        <x:v>Not Started</x:v>
      </x:c>
      <x:c r="M159" s="16" t="str"/>
      <x:c r="N159" s="14" t="str">
        <x:v>AURC-25012-HYD-SPC-00001 Rev 2</x:v>
      </x:c>
      <x:c r="O159" s="14" t="str">
        <x:v>3.8.7 Samples for review</x:v>
      </x:c>
      <x:c r="P159" s="14" t="n">
        <x:v>26</x:v>
      </x:c>
      <x:c r="Q159" s="14" t="str">
        <x:v>AURC-25012-HYD-SPC-00001 Rev 2 | 3.8.7 Samples for review | PDF p.26</x:v>
      </x:c>
      <x:c r="R159" s="14" t="str">
        <x:v>Submission of samples of at least the following shall be provided.</x:v>
      </x:c>
      <x:c r="S159" s="14" t="str"/>
      <x:c r="T159" s="14" t="str"/>
    </x:row>
    <x:row r="160">
      <x:c r="A160" s="12" t="str">
        <x:v>SMP-159</x:v>
      </x:c>
      <x:c r="B160" s="12" t="str">
        <x:v>Hydraulic</x:v>
      </x:c>
      <x:c r="C160" s="12" t="str">
        <x:v>Identification</x:v>
      </x:c>
      <x:c r="D160" s="14" t="str">
        <x:v>Hydraulic labels / markers / identifiers</x:v>
      </x:c>
      <x:c r="E160" s="14" t="str">
        <x:v>Sample of EACH style.</x:v>
      </x:c>
      <x:c r="F160" s="14" t="str">
        <x:v>Mandatory</x:v>
      </x:c>
      <x:c r="G160" s="14" t="str">
        <x:v>High</x:v>
      </x:c>
      <x:c r="H160" s="14" t="str"/>
      <x:c r="I160" s="16" t="str"/>
      <x:c r="J160" s="16" t="str"/>
      <x:c r="K160" s="14" t="str"/>
      <x:c r="L160" s="14" t="str">
        <x:v>Not Started</x:v>
      </x:c>
      <x:c r="M160" s="16" t="str"/>
      <x:c r="N160" s="14" t="str">
        <x:v>AURC-25012-HYD-SPC-00001 Rev 2</x:v>
      </x:c>
      <x:c r="O160" s="14" t="str">
        <x:v>5.3.12 Identification / Samples</x:v>
      </x:c>
      <x:c r="P160" s="14" t="n">
        <x:v>48</x:v>
      </x:c>
      <x:c r="Q160" s="14" t="str">
        <x:v>AURC-25012-HYD-SPC-00001 Rev 2 | 5.3.12 Identification / Samples | PDF p.48</x:v>
      </x:c>
      <x:c r="R160" s="14" t="str">
        <x:v>Submit samples of each style of label, marker or identifier.</x:v>
      </x:c>
      <x:c r="S160" s="14" t="str"/>
      <x:c r="T160" s="14" t="str"/>
    </x:row>
    <x:row r="161">
      <x:c r="A161" s="12" t="str">
        <x:v>SMP-160</x:v>
      </x:c>
      <x:c r="B161" s="12" t="str">
        <x:v>Hydraulic</x:v>
      </x:c>
      <x:c r="C161" s="12" t="str">
        <x:v>Pipework accessories</x:v>
      </x:c>
      <x:c r="D161" s="14" t="str">
        <x:v>Instruments / gauges / thermostats</x:v>
      </x:c>
      <x:c r="E161" s="14" t="str">
        <x:v>Proprietary accessory sample.</x:v>
      </x:c>
      <x:c r="F161" s="14" t="str">
        <x:v>Mandatory</x:v>
      </x:c>
      <x:c r="G161" s="14" t="str">
        <x:v>High</x:v>
      </x:c>
      <x:c r="H161" s="14" t="str"/>
      <x:c r="I161" s="16" t="str"/>
      <x:c r="J161" s="16" t="str"/>
      <x:c r="K161" s="14" t="str"/>
      <x:c r="L161" s="14" t="str">
        <x:v>Not Started</x:v>
      </x:c>
      <x:c r="M161" s="16" t="str"/>
      <x:c r="N161" s="14" t="str">
        <x:v>AURC-25012-HYD-SPC-00001 Rev 2</x:v>
      </x:c>
      <x:c r="O161" s="14" t="str">
        <x:v>7.5.2 Samples</x:v>
      </x:c>
      <x:c r="P161" s="14" t="n">
        <x:v>75</x:v>
      </x:c>
      <x:c r="Q161" s="14" t="str">
        <x:v>AURC-25012-HYD-SPC-00001 Rev 2 | 7.5.2 Samples | PDF p.75</x:v>
      </x:c>
      <x:c r="R161" s="14" t="str">
        <x:v>General: Submit samples of accessories identified by proprietary item, including the following:</x:v>
      </x:c>
      <x:c r="S161" s="14" t="str"/>
      <x:c r="T161" s="14" t="str"/>
    </x:row>
    <x:row r="162">
      <x:c r="A162" s="12" t="str">
        <x:v>SMP-161</x:v>
      </x:c>
      <x:c r="B162" s="12" t="str">
        <x:v>Hydraulic</x:v>
      </x:c>
      <x:c r="C162" s="12" t="str">
        <x:v>Pipework accessories</x:v>
      </x:c>
      <x:c r="D162" s="14" t="str">
        <x:v>Valves</x:v>
      </x:c>
      <x:c r="E162" s="14" t="str">
        <x:v>Proprietary accessory sample.</x:v>
      </x:c>
      <x:c r="F162" s="14" t="str">
        <x:v>Mandatory</x:v>
      </x:c>
      <x:c r="G162" s="14" t="str">
        <x:v>High</x:v>
      </x:c>
      <x:c r="H162" s="14" t="str"/>
      <x:c r="I162" s="16" t="str"/>
      <x:c r="J162" s="16" t="str"/>
      <x:c r="K162" s="14" t="str"/>
      <x:c r="L162" s="14" t="str">
        <x:v>Not Started</x:v>
      </x:c>
      <x:c r="M162" s="16" t="str"/>
      <x:c r="N162" s="14" t="str">
        <x:v>AURC-25012-HYD-SPC-00001 Rev 2</x:v>
      </x:c>
      <x:c r="O162" s="14" t="str">
        <x:v>7.5.2 Samples</x:v>
      </x:c>
      <x:c r="P162" s="14" t="n">
        <x:v>75</x:v>
      </x:c>
      <x:c r="Q162" s="14" t="str">
        <x:v>AURC-25012-HYD-SPC-00001 Rev 2 | 7.5.2 Samples | PDF p.75</x:v>
      </x:c>
      <x:c r="R162" s="14" t="str">
        <x:v>General: Submit samples of accessories identified by proprietary item, including the following:</x:v>
      </x:c>
      <x:c r="S162" s="14" t="str"/>
      <x:c r="T162" s="14" t="str"/>
    </x:row>
    <x:row r="163">
      <x:c r="A163" s="12" t="str">
        <x:v>SMP-162</x:v>
      </x:c>
      <x:c r="B163" s="12" t="str">
        <x:v>Hydraulic</x:v>
      </x:c>
      <x:c r="C163" s="12" t="str">
        <x:v>Sanitary fixtures</x:v>
      </x:c>
      <x:c r="D163" s="14" t="str">
        <x:v>Fixtures in Schedule of Selections</x:v>
      </x:c>
      <x:c r="E163" s="14" t="str">
        <x:v>Submit ALL samples listed in Schedule of Selections.</x:v>
      </x:c>
      <x:c r="F163" s="14" t="str">
        <x:v>Mandatory</x:v>
      </x:c>
      <x:c r="G163" s="14" t="str">
        <x:v>High</x:v>
      </x:c>
      <x:c r="H163" s="14" t="str"/>
      <x:c r="I163" s="16" t="str"/>
      <x:c r="J163" s="16" t="str"/>
      <x:c r="K163" s="14" t="str"/>
      <x:c r="L163" s="14" t="str">
        <x:v>Not Started</x:v>
      </x:c>
      <x:c r="M163" s="16" t="str"/>
      <x:c r="N163" s="14" t="str">
        <x:v>AURC-25012-HYD-SPC-00001 Rev 2</x:v>
      </x:c>
      <x:c r="O163" s="14" t="str">
        <x:v>8.1.5 Submissions / Samples</x:v>
      </x:c>
      <x:c r="P163" s="14" t="n">
        <x:v>92</x:v>
      </x:c>
      <x:c r="Q163" s="14" t="str">
        <x:v>AURC-25012-HYD-SPC-00001 Rev 2 | 8.1.5 Submissions / Samples | PDF p.92</x:v>
      </x:c>
      <x:c r="R163" s="14" t="str">
        <x:v>General: Submit samples listed in the Schedule of Selections.</x:v>
      </x:c>
      <x:c r="S163" s="14" t="str"/>
      <x:c r="T163" s="14" t="str"/>
    </x:row>
    <x:row r="164">
      <x:c r="A164" s="12" t="str">
        <x:v>SMP-163</x:v>
      </x:c>
      <x:c r="B164" s="12" t="str">
        <x:v>Hydraulic</x:v>
      </x:c>
      <x:c r="C164" s="12" t="str">
        <x:v>Stormwater</x:v>
      </x:c>
      <x:c r="D164" s="14" t="str">
        <x:v>Filter material – each type</x:v>
      </x:c>
      <x:c r="E164" s="14" t="str">
        <x:v>Sample EACH type.</x:v>
      </x:c>
      <x:c r="F164" s="14" t="str">
        <x:v>Mandatory</x:v>
      </x:c>
      <x:c r="G164" s="14" t="str">
        <x:v>High</x:v>
      </x:c>
      <x:c r="H164" s="14" t="str"/>
      <x:c r="I164" s="16" t="str"/>
      <x:c r="J164" s="16" t="str"/>
      <x:c r="K164" s="14" t="str"/>
      <x:c r="L164" s="14" t="str">
        <x:v>Not Started</x:v>
      </x:c>
      <x:c r="M164" s="16" t="str"/>
      <x:c r="N164" s="14" t="str">
        <x:v>AURC-25012-HYD-SPC-00001 Rev 2</x:v>
      </x:c>
      <x:c r="O164" s="14" t="str">
        <x:v>9.1.4 Standards / Samples</x:v>
      </x:c>
      <x:c r="P164" s="14" t="n">
        <x:v>96</x:v>
      </x:c>
      <x:c r="Q164" s="14" t="str">
        <x:v>AURC-25012-HYD-SPC-00001 Rev 2 | 9.1.4 Standards / Samples | PDF p.96</x:v>
      </x:c>
      <x:c r="R164" s="14" t="str">
        <x:v>General: Submit samples of the following:</x:v>
      </x:c>
      <x:c r="S164" s="14" t="str"/>
      <x:c r="T164" s="14" t="str"/>
    </x:row>
    <x:row r="165">
      <x:c r="A165" s="12" t="str">
        <x:v>SMP-164</x:v>
      </x:c>
      <x:c r="B165" s="12" t="str">
        <x:v>Hydraulic</x:v>
      </x:c>
      <x:c r="C165" s="12" t="str">
        <x:v>Stormwater</x:v>
      </x:c>
      <x:c r="D165" s="14" t="str">
        <x:v>Imported pipe bedding – each type</x:v>
      </x:c>
      <x:c r="E165" s="14" t="str">
        <x:v>Sample EACH type.</x:v>
      </x:c>
      <x:c r="F165" s="14" t="str">
        <x:v>Mandatory</x:v>
      </x:c>
      <x:c r="G165" s="14" t="str">
        <x:v>High</x:v>
      </x:c>
      <x:c r="H165" s="14" t="str"/>
      <x:c r="I165" s="16" t="str"/>
      <x:c r="J165" s="16" t="str"/>
      <x:c r="K165" s="14" t="str"/>
      <x:c r="L165" s="14" t="str">
        <x:v>Not Started</x:v>
      </x:c>
      <x:c r="M165" s="16" t="str"/>
      <x:c r="N165" s="14" t="str">
        <x:v>AURC-25012-HYD-SPC-00001 Rev 2</x:v>
      </x:c>
      <x:c r="O165" s="14" t="str">
        <x:v>9.1.4 Standards / Samples</x:v>
      </x:c>
      <x:c r="P165" s="14" t="n">
        <x:v>96</x:v>
      </x:c>
      <x:c r="Q165" s="14" t="str">
        <x:v>AURC-25012-HYD-SPC-00001 Rev 2 | 9.1.4 Standards / Samples | PDF p.96</x:v>
      </x:c>
      <x:c r="R165" s="14" t="str">
        <x:v>General: Submit samples of the following:</x:v>
      </x:c>
      <x:c r="S165" s="14" t="str"/>
      <x:c r="T165" s="14" t="str"/>
    </x:row>
    <x:row r="166">
      <x:c r="A166" s="12" t="str">
        <x:v>SMP-165</x:v>
      </x:c>
      <x:c r="B166" s="12" t="str">
        <x:v>Hydraulic</x:v>
      </x:c>
      <x:c r="C166" s="12" t="str">
        <x:v>Tapware</x:v>
      </x:c>
      <x:c r="D166" s="14" t="str">
        <x:v>Tapware in Schedule of Selections</x:v>
      </x:c>
      <x:c r="E166" s="14" t="str">
        <x:v>Submit ALL samples listed in Schedule of Selections for review.</x:v>
      </x:c>
      <x:c r="F166" s="14" t="str">
        <x:v>Mandatory</x:v>
      </x:c>
      <x:c r="G166" s="14" t="str">
        <x:v>High</x:v>
      </x:c>
      <x:c r="H166" s="14" t="str"/>
      <x:c r="I166" s="16" t="str"/>
      <x:c r="J166" s="16" t="str"/>
      <x:c r="K166" s="14" t="str"/>
      <x:c r="L166" s="14" t="str">
        <x:v>Not Started</x:v>
      </x:c>
      <x:c r="M166" s="16" t="str"/>
      <x:c r="N166" s="14" t="str">
        <x:v>AURC-25012-HYD-SPC-00001 Rev 2</x:v>
      </x:c>
      <x:c r="O166" s="14" t="str">
        <x:v>10.1.4 Submissions / Samples</x:v>
      </x:c>
      <x:c r="P166" s="14" t="n">
        <x:v>101</x:v>
      </x:c>
      <x:c r="Q166" s="14" t="str">
        <x:v>AURC-25012-HYD-SPC-00001 Rev 2 | 10.1.4 Submissions / Samples | PDF p.101</x:v>
      </x:c>
      <x:c r="R166" s="14" t="str">
        <x:v>General: Submit samples listed in the Schedule of Selections for review</x:v>
      </x:c>
      <x:c r="S166" s="14" t="str"/>
      <x:c r="T166" s="14" t="str"/>
    </x:row>
    <x:row r="167">
      <x:c r="A167" s="12" t="str">
        <x:v>SMP-166</x:v>
      </x:c>
      <x:c r="B167" s="12" t="str">
        <x:v>Mechanical</x:v>
      </x:c>
      <x:c r="C167" s="12" t="str">
        <x:v>Controls</x:v>
      </x:c>
      <x:c r="D167" s="14" t="str">
        <x:v>Control component in occupied areas</x:v>
      </x:c>
      <x:c r="E167" s="14" t="str">
        <x:v>Sample EACH control component mounted in occupied areas. Do not install before approval.</x:v>
      </x:c>
      <x:c r="F167" s="14" t="str">
        <x:v>Mandatory / HOLD POINT</x:v>
      </x:c>
      <x:c r="G167" s="14" t="str">
        <x:v>Critical</x:v>
      </x:c>
      <x:c r="H167" s="14" t="str"/>
      <x:c r="I167" s="16" t="str"/>
      <x:c r="J167" s="16" t="str"/>
      <x:c r="K167" s="14" t="str"/>
      <x:c r="L167" s="14" t="str">
        <x:v>Not Started</x:v>
      </x:c>
      <x:c r="M167" s="16" t="str"/>
      <x:c r="N167" s="14" t="str">
        <x:v>AURC-25012-MEC-SPC-000001 Rev 2</x:v>
      </x:c>
      <x:c r="O167" s="14" t="str">
        <x:v>9.1 Samples – HOLD POINT</x:v>
      </x:c>
      <x:c r="P167" s="14" t="n">
        <x:v>74</x:v>
      </x:c>
      <x:c r="Q167" s="14" t="str">
        <x:v>AURC-25012-MEC-SPC-000001 Rev 2 | 9.1 Samples – HOLD POINT | PDF p.74</x:v>
      </x:c>
      <x:c r="R167" s="14" t="str">
        <x:v>Requirement: Submit samples of the following: Each control component to be mounted within occupied areas.</x:v>
      </x:c>
      <x:c r="S167" s="14" t="str"/>
      <x:c r="T167" s="14" t="str"/>
    </x:row>
    <x:row r="168">
      <x:c r="A168" s="12" t="str">
        <x:v>SMP-167</x:v>
      </x:c>
      <x:c r="B168" s="12" t="str">
        <x:v>Mechanical</x:v>
      </x:c>
      <x:c r="C168" s="12" t="str">
        <x:v>Ductwork</x:v>
      </x:c>
      <x:c r="D168" s="14" t="str">
        <x:v>Ductwork access panel</x:v>
      </x:c>
      <x:c r="E168" s="14" t="str">
        <x:v>Sample.</x:v>
      </x:c>
      <x:c r="F168" s="14" t="str">
        <x:v>Mandatory</x:v>
      </x:c>
      <x:c r="G168" s="14" t="str">
        <x:v>High</x:v>
      </x:c>
      <x:c r="H168" s="14" t="str"/>
      <x:c r="I168" s="16" t="str"/>
      <x:c r="J168" s="16" t="str"/>
      <x:c r="K168" s="14" t="str"/>
      <x:c r="L168" s="14" t="str">
        <x:v>Not Started</x:v>
      </x:c>
      <x:c r="M168" s="16" t="str"/>
      <x:c r="N168" s="14" t="str">
        <x:v>AURC-25012-MEC-SPC-000001 Rev 2</x:v>
      </x:c>
      <x:c r="O168" s="14" t="str">
        <x:v>Ductwork submissions / Samples</x:v>
      </x:c>
      <x:c r="P168" s="14" t="n">
        <x:v>116</x:v>
      </x:c>
      <x:c r="Q168" s="14" t="str">
        <x:v>AURC-25012-MEC-SPC-000001 Rev 2 | Ductwork submissions / Samples | PDF p.116</x:v>
      </x:c>
      <x:c r="R168" s="14" t="str">
        <x:v>Samples Rigid sheet metal ductwork, all types, complete with flanges and sealing</x:v>
      </x:c>
      <x:c r="S168" s="14" t="str"/>
      <x:c r="T168" s="14" t="str"/>
    </x:row>
    <x:row r="169">
      <x:c r="A169" s="12" t="str">
        <x:v>SMP-168</x:v>
      </x:c>
      <x:c r="B169" s="12" t="str">
        <x:v>Mechanical</x:v>
      </x:c>
      <x:c r="C169" s="12" t="str">
        <x:v>Ductwork</x:v>
      </x:c>
      <x:c r="D169" s="14" t="str">
        <x:v>Flexible duct – acoustic</x:v>
      </x:c>
      <x:c r="E169" s="14" t="str">
        <x:v>Sample.</x:v>
      </x:c>
      <x:c r="F169" s="14" t="str">
        <x:v>Mandatory</x:v>
      </x:c>
      <x:c r="G169" s="14" t="str">
        <x:v>High</x:v>
      </x:c>
      <x:c r="H169" s="14" t="str"/>
      <x:c r="I169" s="16" t="str"/>
      <x:c r="J169" s="16" t="str"/>
      <x:c r="K169" s="14" t="str"/>
      <x:c r="L169" s="14" t="str">
        <x:v>Not Started</x:v>
      </x:c>
      <x:c r="M169" s="16" t="str"/>
      <x:c r="N169" s="14" t="str">
        <x:v>AURC-25012-MEC-SPC-000001 Rev 2</x:v>
      </x:c>
      <x:c r="O169" s="14" t="str">
        <x:v>Ductwork submissions / Samples</x:v>
      </x:c>
      <x:c r="P169" s="14" t="n">
        <x:v>116</x:v>
      </x:c>
      <x:c r="Q169" s="14" t="str">
        <x:v>AURC-25012-MEC-SPC-000001 Rev 2 | Ductwork submissions / Samples | PDF p.116</x:v>
      </x:c>
      <x:c r="R169" s="14" t="str">
        <x:v>Samples Rigid sheet metal ductwork, all types, complete with flanges and sealing</x:v>
      </x:c>
      <x:c r="S169" s="14" t="str"/>
      <x:c r="T169" s="14" t="str"/>
    </x:row>
    <x:row r="170">
      <x:c r="A170" s="12" t="str">
        <x:v>SMP-169</x:v>
      </x:c>
      <x:c r="B170" s="12" t="str">
        <x:v>Mechanical</x:v>
      </x:c>
      <x:c r="C170" s="12" t="str">
        <x:v>Ductwork</x:v>
      </x:c>
      <x:c r="D170" s="14" t="str">
        <x:v>Flexible duct – standard</x:v>
      </x:c>
      <x:c r="E170" s="14" t="str">
        <x:v>Sample.</x:v>
      </x:c>
      <x:c r="F170" s="14" t="str">
        <x:v>Mandatory</x:v>
      </x:c>
      <x:c r="G170" s="14" t="str">
        <x:v>High</x:v>
      </x:c>
      <x:c r="H170" s="14" t="str"/>
      <x:c r="I170" s="16" t="str"/>
      <x:c r="J170" s="16" t="str"/>
      <x:c r="K170" s="14" t="str"/>
      <x:c r="L170" s="14" t="str">
        <x:v>Not Started</x:v>
      </x:c>
      <x:c r="M170" s="16" t="str"/>
      <x:c r="N170" s="14" t="str">
        <x:v>AURC-25012-MEC-SPC-000001 Rev 2</x:v>
      </x:c>
      <x:c r="O170" s="14" t="str">
        <x:v>Ductwork submissions / Samples</x:v>
      </x:c>
      <x:c r="P170" s="14" t="n">
        <x:v>116</x:v>
      </x:c>
      <x:c r="Q170" s="14" t="str">
        <x:v>AURC-25012-MEC-SPC-000001 Rev 2 | Ductwork submissions / Samples | PDF p.116</x:v>
      </x:c>
      <x:c r="R170" s="14" t="str">
        <x:v>Samples Rigid sheet metal ductwork, all types, complete with flanges and sealing</x:v>
      </x:c>
      <x:c r="S170" s="14" t="str"/>
      <x:c r="T170" s="14" t="str"/>
    </x:row>
    <x:row r="171">
      <x:c r="A171" s="12" t="str">
        <x:v>SMP-170</x:v>
      </x:c>
      <x:c r="B171" s="12" t="str">
        <x:v>Mechanical</x:v>
      </x:c>
      <x:c r="C171" s="12" t="str">
        <x:v>Ductwork</x:v>
      </x:c>
      <x:c r="D171" s="14" t="str">
        <x:v>Other ductwork construction incl. spiral</x:v>
      </x:c>
      <x:c r="E171" s="14" t="str">
        <x:v>Sample each type used.</x:v>
      </x:c>
      <x:c r="F171" s="14" t="str">
        <x:v>Mandatory</x:v>
      </x:c>
      <x:c r="G171" s="14" t="str">
        <x:v>High</x:v>
      </x:c>
      <x:c r="H171" s="14" t="str"/>
      <x:c r="I171" s="16" t="str"/>
      <x:c r="J171" s="16" t="str"/>
      <x:c r="K171" s="14" t="str"/>
      <x:c r="L171" s="14" t="str">
        <x:v>Not Started</x:v>
      </x:c>
      <x:c r="M171" s="16" t="str"/>
      <x:c r="N171" s="14" t="str">
        <x:v>AURC-25012-MEC-SPC-000001 Rev 2</x:v>
      </x:c>
      <x:c r="O171" s="14" t="str">
        <x:v>Ductwork submissions / Samples</x:v>
      </x:c>
      <x:c r="P171" s="14" t="n">
        <x:v>116</x:v>
      </x:c>
      <x:c r="Q171" s="14" t="str">
        <x:v>AURC-25012-MEC-SPC-000001 Rev 2 | Ductwork submissions / Samples | PDF p.116</x:v>
      </x:c>
      <x:c r="R171" s="14" t="str">
        <x:v>Samples Rigid sheet metal ductwork, all types, complete with flanges and sealing</x:v>
      </x:c>
      <x:c r="S171" s="14" t="str"/>
      <x:c r="T171" s="14" t="str"/>
    </x:row>
    <x:row r="172">
      <x:c r="A172" s="12" t="str">
        <x:v>SMP-171</x:v>
      </x:c>
      <x:c r="B172" s="12" t="str">
        <x:v>Mechanical</x:v>
      </x:c>
      <x:c r="C172" s="12" t="str">
        <x:v>Ductwork</x:v>
      </x:c>
      <x:c r="D172" s="14" t="str">
        <x:v>Rigid sheet metal ductwork – each type</x:v>
      </x:c>
      <x:c r="E172" s="14" t="str">
        <x:v>Complete with flanges and sealing.</x:v>
      </x:c>
      <x:c r="F172" s="14" t="str">
        <x:v>Mandatory</x:v>
      </x:c>
      <x:c r="G172" s="14" t="str">
        <x:v>High</x:v>
      </x:c>
      <x:c r="H172" s="14" t="str"/>
      <x:c r="I172" s="16" t="str"/>
      <x:c r="J172" s="16" t="str"/>
      <x:c r="K172" s="14" t="str"/>
      <x:c r="L172" s="14" t="str">
        <x:v>Not Started</x:v>
      </x:c>
      <x:c r="M172" s="16" t="str"/>
      <x:c r="N172" s="14" t="str">
        <x:v>AURC-25012-MEC-SPC-000001 Rev 2</x:v>
      </x:c>
      <x:c r="O172" s="14" t="str">
        <x:v>Ductwork submissions / Samples</x:v>
      </x:c>
      <x:c r="P172" s="14" t="n">
        <x:v>116</x:v>
      </x:c>
      <x:c r="Q172" s="14" t="str">
        <x:v>AURC-25012-MEC-SPC-000001 Rev 2 | Ductwork submissions / Samples | PDF p.116</x:v>
      </x:c>
      <x:c r="R172" s="14" t="str">
        <x:v>Samples Rigid sheet metal ductwork, all types, complete with flanges and sealing</x:v>
      </x:c>
      <x:c r="S172" s="14" t="str"/>
      <x:c r="T172" s="14" t="str"/>
    </x:row>
    <x:row r="173">
      <x:c r="A173" s="12" t="str">
        <x:v>SMP-172</x:v>
      </x:c>
      <x:c r="B173" s="12" t="str">
        <x:v>Mechanical</x:v>
      </x:c>
      <x:c r="C173" s="12" t="str">
        <x:v>Finishes &amp; identification</x:v>
      </x:c>
      <x:c r="D173" s="14" t="str">
        <x:v>Mechanical equipment/components proposed finish</x:v>
      </x:c>
      <x:c r="E173" s="14" t="str">
        <x:v>Sample as required to demonstrate finish.</x:v>
      </x:c>
      <x:c r="F173" s="14" t="str">
        <x:v>Mandatory</x:v>
      </x:c>
      <x:c r="G173" s="14" t="str">
        <x:v>High</x:v>
      </x:c>
      <x:c r="H173" s="14" t="str"/>
      <x:c r="I173" s="16" t="str"/>
      <x:c r="J173" s="16" t="str"/>
      <x:c r="K173" s="14" t="str"/>
      <x:c r="L173" s="14" t="str">
        <x:v>Not Started</x:v>
      </x:c>
      <x:c r="M173" s="16" t="str"/>
      <x:c r="N173" s="14" t="str">
        <x:v>AURC-25012-MEC-SPC-000001 Rev 2</x:v>
      </x:c>
      <x:c r="O173" s="14" t="str">
        <x:v>16.1 Samples</x:v>
      </x:c>
      <x:c r="P173" s="14" t="n">
        <x:v>52</x:v>
      </x:c>
      <x:c r="Q173" s="14" t="str">
        <x:v>AURC-25012-MEC-SPC-000001 Rev 2 | 16.1 Samples | PDF p.52</x:v>
      </x:c>
      <x:c r="R173" s="14" t="str">
        <x:v>Samples Submit samples of the following:</x:v>
      </x:c>
      <x:c r="S173" s="14" t="str"/>
      <x:c r="T173" s="14" t="str"/>
    </x:row>
    <x:row r="174">
      <x:c r="A174" s="12" t="str">
        <x:v>SMP-173</x:v>
      </x:c>
      <x:c r="B174" s="12" t="str">
        <x:v>Mechanical</x:v>
      </x:c>
      <x:c r="C174" s="12" t="str">
        <x:v>Finishes &amp; identification</x:v>
      </x:c>
      <x:c r="D174" s="14" t="str">
        <x:v>Mechanical label / marker / identifier – each style</x:v>
      </x:c>
      <x:c r="E174" s="14" t="str">
        <x:v>Sample EACH style.</x:v>
      </x:c>
      <x:c r="F174" s="14" t="str">
        <x:v>Mandatory</x:v>
      </x:c>
      <x:c r="G174" s="14" t="str">
        <x:v>High</x:v>
      </x:c>
      <x:c r="H174" s="14" t="str"/>
      <x:c r="I174" s="16" t="str"/>
      <x:c r="J174" s="16" t="str"/>
      <x:c r="K174" s="14" t="str"/>
      <x:c r="L174" s="14" t="str">
        <x:v>Not Started</x:v>
      </x:c>
      <x:c r="M174" s="16" t="str"/>
      <x:c r="N174" s="14" t="str">
        <x:v>AURC-25012-MEC-SPC-000001 Rev 2</x:v>
      </x:c>
      <x:c r="O174" s="14" t="str">
        <x:v>16.1 Samples</x:v>
      </x:c>
      <x:c r="P174" s="14" t="n">
        <x:v>52</x:v>
      </x:c>
      <x:c r="Q174" s="14" t="str">
        <x:v>AURC-25012-MEC-SPC-000001 Rev 2 | 16.1 Samples | PDF p.52</x:v>
      </x:c>
      <x:c r="R174" s="14" t="str">
        <x:v>Samples Submit samples of the following:</x:v>
      </x:c>
      <x:c r="S174" s="14" t="str"/>
      <x:c r="T174" s="14" t="str"/>
    </x:row>
    <x:row r="175">
      <x:c r="A175" s="12" t="str">
        <x:v>SMP-174</x:v>
      </x:c>
      <x:c r="B175" s="12" t="str">
        <x:v>Mechanical</x:v>
      </x:c>
      <x:c r="C175" s="12" t="str">
        <x:v>Finishes &amp; identification</x:v>
      </x:c>
      <x:c r="D175" s="14" t="str">
        <x:v>Selected architectural paint colours – mechanical items</x:v>
      </x:c>
      <x:c r="E175" s="14" t="str">
        <x:v>Sample selected colours.</x:v>
      </x:c>
      <x:c r="F175" s="14" t="str">
        <x:v>Mandatory</x:v>
      </x:c>
      <x:c r="G175" s="14" t="str">
        <x:v>High</x:v>
      </x:c>
      <x:c r="H175" s="14" t="str"/>
      <x:c r="I175" s="16" t="str"/>
      <x:c r="J175" s="16" t="str"/>
      <x:c r="K175" s="14" t="str"/>
      <x:c r="L175" s="14" t="str">
        <x:v>Not Started</x:v>
      </x:c>
      <x:c r="M175" s="16" t="str"/>
      <x:c r="N175" s="14" t="str">
        <x:v>AURC-25012-MEC-SPC-000001 Rev 2</x:v>
      </x:c>
      <x:c r="O175" s="14" t="str">
        <x:v>16.1 Samples</x:v>
      </x:c>
      <x:c r="P175" s="14" t="n">
        <x:v>52</x:v>
      </x:c>
      <x:c r="Q175" s="14" t="str">
        <x:v>AURC-25012-MEC-SPC-000001 Rev 2 | 16.1 Samples | PDF p.52</x:v>
      </x:c>
      <x:c r="R175" s="14" t="str">
        <x:v>Samples Submit samples of the following:</x:v>
      </x:c>
      <x:c r="S175" s="14" t="str"/>
      <x:c r="T175" s="14" t="str"/>
    </x:row>
    <x:row r="176">
      <x:c r="A176" s="12" t="str">
        <x:v>SMP-175</x:v>
      </x:c>
      <x:c r="B176" s="12" t="str">
        <x:v>Mechanical</x:v>
      </x:c>
      <x:c r="C176" s="12" t="str">
        <x:v>Insulation</x:v>
      </x:c>
      <x:c r="D176" s="14" t="str">
        <x:v>Duct fitting insulation</x:v>
      </x:c>
      <x:c r="E176" s="14" t="str">
        <x:v>Show 90° mitre/radius bends, branch take-off and diffuser cushion head. Provide cutaway section showing insulation, adhesives, mastics, fixings and sheathing.</x:v>
      </x:c>
      <x:c r="F176" s="14" t="str">
        <x:v>Mandatory</x:v>
      </x:c>
      <x:c r="G176" s="14" t="str">
        <x:v>High</x:v>
      </x:c>
      <x:c r="H176" s="14" t="str"/>
      <x:c r="I176" s="16" t="str"/>
      <x:c r="J176" s="16" t="str"/>
      <x:c r="K176" s="14" t="str"/>
      <x:c r="L176" s="14" t="str">
        <x:v>Not Started</x:v>
      </x:c>
      <x:c r="M176" s="16" t="str"/>
      <x:c r="N176" s="14" t="str">
        <x:v>AURC-25012-MEC-SPC-000001 Rev 2</x:v>
      </x:c>
      <x:c r="O176" s="14" t="str">
        <x:v>Insulation / Samples</x:v>
      </x:c>
      <x:c r="P176" s="14" t="n">
        <x:v>52</x:v>
      </x:c>
      <x:c r="Q176" s="14" t="str">
        <x:v>AURC-25012-MEC-SPC-000001 Rev 2 | Insulation / Samples | PDF p.52</x:v>
      </x:c>
      <x:c r="R176" s="14" t="str">
        <x:v>Samples Submit samples of the following:</x:v>
      </x:c>
      <x:c r="S176" s="14" t="str"/>
      <x:c r="T176" s="14" t="str"/>
    </x:row>
    <x:row r="177">
      <x:c r="A177" s="12" t="str">
        <x:v>SMP-176</x:v>
      </x:c>
      <x:c r="B177" s="12" t="str">
        <x:v>Mechanical</x:v>
      </x:c>
      <x:c r="C177" s="12" t="str">
        <x:v>Insulation</x:v>
      </x:c>
      <x:c r="D177" s="14" t="str">
        <x:v>Ductwork insulation – each type</x:v>
      </x:c>
      <x:c r="E177" s="14" t="str">
        <x:v>On 1.5 m duct incl. site-applied insulated traverse joint. Provide cutaway section showing insulation, adhesives, mastics, fixings and sheathing.</x:v>
      </x:c>
      <x:c r="F177" s="14" t="str">
        <x:v>Mandatory</x:v>
      </x:c>
      <x:c r="G177" s="14" t="str">
        <x:v>High</x:v>
      </x:c>
      <x:c r="H177" s="14" t="str"/>
      <x:c r="I177" s="16" t="str"/>
      <x:c r="J177" s="16" t="str"/>
      <x:c r="K177" s="14" t="str"/>
      <x:c r="L177" s="14" t="str">
        <x:v>Not Started</x:v>
      </x:c>
      <x:c r="M177" s="16" t="str"/>
      <x:c r="N177" s="14" t="str">
        <x:v>AURC-25012-MEC-SPC-000001 Rev 2</x:v>
      </x:c>
      <x:c r="O177" s="14" t="str">
        <x:v>Insulation / Samples</x:v>
      </x:c>
      <x:c r="P177" s="14" t="n">
        <x:v>52</x:v>
      </x:c>
      <x:c r="Q177" s="14" t="str">
        <x:v>AURC-25012-MEC-SPC-000001 Rev 2 | Insulation / Samples | PDF p.52</x:v>
      </x:c>
      <x:c r="R177" s="14" t="str">
        <x:v>Samples Submit samples of the following:</x:v>
      </x:c>
      <x:c r="S177" s="14" t="str"/>
      <x:c r="T177" s="14" t="str"/>
    </x:row>
    <x:row r="178">
      <x:c r="A178" s="12" t="str">
        <x:v>SMP-177</x:v>
      </x:c>
      <x:c r="B178" s="12" t="str">
        <x:v>Mechanical</x:v>
      </x:c>
      <x:c r="C178" s="12" t="str">
        <x:v>Insulation</x:v>
      </x:c>
      <x:c r="D178" s="14" t="str">
        <x:v>Piping insulation – each type</x:v>
      </x:c>
      <x:c r="E178" s="14" t="str">
        <x:v>On &gt;=1.5 m pipe; include transverse joint, bend, hanger and insulated flange where relevant. Provide cutaway section showing insulation, adhesives, mastics, fixings and sheathing.</x:v>
      </x:c>
      <x:c r="F178" s="14" t="str">
        <x:v>Mandatory</x:v>
      </x:c>
      <x:c r="G178" s="14" t="str">
        <x:v>High</x:v>
      </x:c>
      <x:c r="H178" s="14" t="str"/>
      <x:c r="I178" s="16" t="str"/>
      <x:c r="J178" s="16" t="str"/>
      <x:c r="K178" s="14" t="str"/>
      <x:c r="L178" s="14" t="str">
        <x:v>Not Started</x:v>
      </x:c>
      <x:c r="M178" s="16" t="str"/>
      <x:c r="N178" s="14" t="str">
        <x:v>AURC-25012-MEC-SPC-000001 Rev 2</x:v>
      </x:c>
      <x:c r="O178" s="14" t="str">
        <x:v>Insulation / Samples</x:v>
      </x:c>
      <x:c r="P178" s="14" t="n">
        <x:v>52</x:v>
      </x:c>
      <x:c r="Q178" s="14" t="str">
        <x:v>AURC-25012-MEC-SPC-000001 Rev 2 | Insulation / Samples | PDF p.52</x:v>
      </x:c>
      <x:c r="R178" s="14" t="str">
        <x:v>Samples Submit samples of the following:</x:v>
      </x:c>
      <x:c r="S178" s="14" t="str"/>
      <x:c r="T178" s="14" t="str"/>
    </x:row>
    <x:row r="179">
      <x:c r="A179" s="12" t="str">
        <x:v>SMP-178</x:v>
      </x:c>
      <x:c r="B179" s="12" t="str">
        <x:v>Mechanical</x:v>
      </x:c>
      <x:c r="C179" s="12" t="str">
        <x:v>Insulation</x:v>
      </x:c>
      <x:c r="D179" s="14" t="str">
        <x:v>Removable piping equipment insulation</x:v>
      </x:c>
      <x:c r="E179" s="14" t="str">
        <x:v>Show arrangement on pumps/valves and tees. Provide cutaway section showing insulation, adhesives, mastics, fixings and sheathing.</x:v>
      </x:c>
      <x:c r="F179" s="14" t="str">
        <x:v>Mandatory</x:v>
      </x:c>
      <x:c r="G179" s="14" t="str">
        <x:v>High</x:v>
      </x:c>
      <x:c r="H179" s="14" t="str"/>
      <x:c r="I179" s="16" t="str"/>
      <x:c r="J179" s="16" t="str"/>
      <x:c r="K179" s="14" t="str"/>
      <x:c r="L179" s="14" t="str">
        <x:v>Not Started</x:v>
      </x:c>
      <x:c r="M179" s="16" t="str"/>
      <x:c r="N179" s="14" t="str">
        <x:v>AURC-25012-MEC-SPC-000001 Rev 2</x:v>
      </x:c>
      <x:c r="O179" s="14" t="str">
        <x:v>Insulation / Samples</x:v>
      </x:c>
      <x:c r="P179" s="14" t="n">
        <x:v>52</x:v>
      </x:c>
      <x:c r="Q179" s="14" t="str">
        <x:v>AURC-25012-MEC-SPC-000001 Rev 2 | Insulation / Samples | PDF p.52</x:v>
      </x:c>
      <x:c r="R179" s="14" t="str">
        <x:v>Samples Submit samples of the following:</x:v>
      </x:c>
      <x:c r="S179" s="14" t="str"/>
      <x:c r="T179" s="14" t="str"/>
    </x:row>
    <x:row r="180">
      <x:c r="A180" s="12" t="str">
        <x:v>SMP-179</x:v>
      </x:c>
      <x:c r="B180" s="12" t="str">
        <x:v>Mechanical</x:v>
      </x:c>
      <x:c r="C180" s="12" t="str">
        <x:v>Mechanical</x:v>
      </x:c>
      <x:c r="D180" s="14" t="str">
        <x:v>Air filter – each type</x:v>
      </x:c>
      <x:c r="E180" s="14" t="str">
        <x:v>One EACH type.</x:v>
      </x:c>
      <x:c r="F180" s="14" t="str">
        <x:v>Mandatory</x:v>
      </x:c>
      <x:c r="G180" s="14" t="str">
        <x:v>High</x:v>
      </x:c>
      <x:c r="H180" s="14" t="str"/>
      <x:c r="I180" s="16" t="str"/>
      <x:c r="J180" s="16" t="str"/>
      <x:c r="K180" s="14" t="str"/>
      <x:c r="L180" s="14" t="str">
        <x:v>Not Started</x:v>
      </x:c>
      <x:c r="M180" s="16" t="str"/>
      <x:c r="N180" s="14" t="str">
        <x:v>AURC-25012-MEC-SPC-000001 Rev 2</x:v>
      </x:c>
      <x:c r="O180" s="14" t="str">
        <x:v>Pre-construction submissions – Samples</x:v>
      </x:c>
      <x:c r="P180" s="14" t="n">
        <x:v>18</x:v>
      </x:c>
      <x:c r="Q180" s="14" t="str">
        <x:v>AURC-25012-MEC-SPC-000001 Rev 2 | Pre-construction submissions – Samples | PDF p.18</x:v>
      </x:c>
      <x:c r="R180" s="14" t="str">
        <x:v>Submit a sample for each of following items:</x:v>
      </x:c>
      <x:c r="S180" s="14" t="str"/>
      <x:c r="T180" s="14" t="str"/>
    </x:row>
    <x:row r="181">
      <x:c r="A181" s="12" t="str">
        <x:v>SMP-180</x:v>
      </x:c>
      <x:c r="B181" s="12" t="str">
        <x:v>Mechanical</x:v>
      </x:c>
      <x:c r="C181" s="12" t="str">
        <x:v>Mechanical</x:v>
      </x:c>
      <x:c r="D181" s="14" t="str">
        <x:v>Duct construction</x:v>
      </x:c>
      <x:c r="E181" s="14" t="str">
        <x:v>Include access panel, jointing method, flexible duct spigot.</x:v>
      </x:c>
      <x:c r="F181" s="14" t="str">
        <x:v>Mandatory</x:v>
      </x:c>
      <x:c r="G181" s="14" t="str">
        <x:v>High</x:v>
      </x:c>
      <x:c r="H181" s="14" t="str"/>
      <x:c r="I181" s="16" t="str"/>
      <x:c r="J181" s="16" t="str"/>
      <x:c r="K181" s="14" t="str"/>
      <x:c r="L181" s="14" t="str">
        <x:v>Not Started</x:v>
      </x:c>
      <x:c r="M181" s="16" t="str"/>
      <x:c r="N181" s="14" t="str">
        <x:v>AURC-25012-MEC-SPC-000001 Rev 2</x:v>
      </x:c>
      <x:c r="O181" s="14" t="str">
        <x:v>Pre-construction submissions – Samples</x:v>
      </x:c>
      <x:c r="P181" s="14" t="n">
        <x:v>18</x:v>
      </x:c>
      <x:c r="Q181" s="14" t="str">
        <x:v>AURC-25012-MEC-SPC-000001 Rev 2 | Pre-construction submissions – Samples | PDF p.18</x:v>
      </x:c>
      <x:c r="R181" s="14" t="str">
        <x:v>Submit a sample for each of following items:</x:v>
      </x:c>
      <x:c r="S181" s="14" t="str"/>
      <x:c r="T181" s="14" t="str"/>
    </x:row>
    <x:row r="182">
      <x:c r="A182" s="12" t="str">
        <x:v>SMP-181</x:v>
      </x:c>
      <x:c r="B182" s="12" t="str">
        <x:v>Mechanical</x:v>
      </x:c>
      <x:c r="C182" s="12" t="str">
        <x:v>Mechanical</x:v>
      </x:c>
      <x:c r="D182" s="14" t="str">
        <x:v>Duct support – each type</x:v>
      </x:c>
      <x:c r="E182" s="14" t="str">
        <x:v>Show insulation at support.</x:v>
      </x:c>
      <x:c r="F182" s="14" t="str">
        <x:v>Mandatory</x:v>
      </x:c>
      <x:c r="G182" s="14" t="str">
        <x:v>High</x:v>
      </x:c>
      <x:c r="H182" s="14" t="str"/>
      <x:c r="I182" s="16" t="str"/>
      <x:c r="J182" s="16" t="str"/>
      <x:c r="K182" s="14" t="str"/>
      <x:c r="L182" s="14" t="str">
        <x:v>Not Started</x:v>
      </x:c>
      <x:c r="M182" s="16" t="str"/>
      <x:c r="N182" s="14" t="str">
        <x:v>AURC-25012-MEC-SPC-000001 Rev 2</x:v>
      </x:c>
      <x:c r="O182" s="14" t="str">
        <x:v>Pre-construction submissions – Samples</x:v>
      </x:c>
      <x:c r="P182" s="14" t="n">
        <x:v>18</x:v>
      </x:c>
      <x:c r="Q182" s="14" t="str">
        <x:v>AURC-25012-MEC-SPC-000001 Rev 2 | Pre-construction submissions – Samples | PDF p.18</x:v>
      </x:c>
      <x:c r="R182" s="14" t="str">
        <x:v>Submit a sample for each of following items:</x:v>
      </x:c>
      <x:c r="S182" s="14" t="str"/>
      <x:c r="T182" s="14" t="str"/>
    </x:row>
    <x:row r="183">
      <x:c r="A183" s="12" t="str">
        <x:v>SMP-182</x:v>
      </x:c>
      <x:c r="B183" s="12" t="str">
        <x:v>Mechanical</x:v>
      </x:c>
      <x:c r="C183" s="12" t="str">
        <x:v>Mechanical</x:v>
      </x:c>
      <x:c r="D183" s="14" t="str">
        <x:v>Fan coil unit</x:v>
      </x:c>
      <x:c r="E183" s="14" t="str">
        <x:v>Complete with valve assembly.</x:v>
      </x:c>
      <x:c r="F183" s="14" t="str">
        <x:v>Mandatory</x:v>
      </x:c>
      <x:c r="G183" s="14" t="str">
        <x:v>High</x:v>
      </x:c>
      <x:c r="H183" s="14" t="str"/>
      <x:c r="I183" s="16" t="str"/>
      <x:c r="J183" s="16" t="str"/>
      <x:c r="K183" s="14" t="str"/>
      <x:c r="L183" s="14" t="str">
        <x:v>Not Started</x:v>
      </x:c>
      <x:c r="M183" s="16" t="str"/>
      <x:c r="N183" s="14" t="str">
        <x:v>AURC-25012-MEC-SPC-000001 Rev 2</x:v>
      </x:c>
      <x:c r="O183" s="14" t="str">
        <x:v>Pre-construction submissions – Samples</x:v>
      </x:c>
      <x:c r="P183" s="14" t="n">
        <x:v>18</x:v>
      </x:c>
      <x:c r="Q183" s="14" t="str">
        <x:v>AURC-25012-MEC-SPC-000001 Rev 2 | Pre-construction submissions – Samples | PDF p.18</x:v>
      </x:c>
      <x:c r="R183" s="14" t="str">
        <x:v>Submit a sample for each of following items:</x:v>
      </x:c>
      <x:c r="S183" s="14" t="str"/>
      <x:c r="T183" s="14" t="str"/>
    </x:row>
    <x:row r="184">
      <x:c r="A184" s="12" t="str">
        <x:v>SMP-183</x:v>
      </x:c>
      <x:c r="B184" s="12" t="str">
        <x:v>Mechanical</x:v>
      </x:c>
      <x:c r="C184" s="12" t="str">
        <x:v>Mechanical</x:v>
      </x:c>
      <x:c r="D184" s="14" t="str">
        <x:v>Flexible duct – each type</x:v>
      </x:c>
      <x:c r="E184" s="14" t="str">
        <x:v>One EACH type.</x:v>
      </x:c>
      <x:c r="F184" s="14" t="str">
        <x:v>Mandatory</x:v>
      </x:c>
      <x:c r="G184" s="14" t="str">
        <x:v>High</x:v>
      </x:c>
      <x:c r="H184" s="14" t="str"/>
      <x:c r="I184" s="16" t="str"/>
      <x:c r="J184" s="16" t="str"/>
      <x:c r="K184" s="14" t="str"/>
      <x:c r="L184" s="14" t="str">
        <x:v>Not Started</x:v>
      </x:c>
      <x:c r="M184" s="16" t="str"/>
      <x:c r="N184" s="14" t="str">
        <x:v>AURC-25012-MEC-SPC-000001 Rev 2</x:v>
      </x:c>
      <x:c r="O184" s="14" t="str">
        <x:v>Pre-construction submissions – Samples</x:v>
      </x:c>
      <x:c r="P184" s="14" t="n">
        <x:v>18</x:v>
      </x:c>
      <x:c r="Q184" s="14" t="str">
        <x:v>AURC-25012-MEC-SPC-000001 Rev 2 | Pre-construction submissions – Samples | PDF p.18</x:v>
      </x:c>
      <x:c r="R184" s="14" t="str">
        <x:v>Submit a sample for each of following items:</x:v>
      </x:c>
      <x:c r="S184" s="14" t="str"/>
      <x:c r="T184" s="14" t="str"/>
    </x:row>
    <x:row r="185">
      <x:c r="A185" s="12" t="str">
        <x:v>SMP-184</x:v>
      </x:c>
      <x:c r="B185" s="12" t="str">
        <x:v>Mechanical</x:v>
      </x:c>
      <x:c r="C185" s="12" t="str">
        <x:v>Mechanical</x:v>
      </x:c>
      <x:c r="D185" s="14" t="str">
        <x:v>Grille / diffuser – each type</x:v>
      </x:c>
      <x:c r="E185" s="14" t="str">
        <x:v>One EACH type.</x:v>
      </x:c>
      <x:c r="F185" s="14" t="str">
        <x:v>Mandatory</x:v>
      </x:c>
      <x:c r="G185" s="14" t="str">
        <x:v>High</x:v>
      </x:c>
      <x:c r="H185" s="14" t="str"/>
      <x:c r="I185" s="16" t="str"/>
      <x:c r="J185" s="16" t="str"/>
      <x:c r="K185" s="14" t="str"/>
      <x:c r="L185" s="14" t="str">
        <x:v>Not Started</x:v>
      </x:c>
      <x:c r="M185" s="16" t="str"/>
      <x:c r="N185" s="14" t="str">
        <x:v>AURC-25012-MEC-SPC-000001 Rev 2</x:v>
      </x:c>
      <x:c r="O185" s="14" t="str">
        <x:v>Pre-construction submissions – Samples</x:v>
      </x:c>
      <x:c r="P185" s="14" t="n">
        <x:v>18</x:v>
      </x:c>
      <x:c r="Q185" s="14" t="str">
        <x:v>AURC-25012-MEC-SPC-000001 Rev 2 | Pre-construction submissions – Samples | PDF p.18</x:v>
      </x:c>
      <x:c r="R185" s="14" t="str">
        <x:v>Submit a sample for each of following items:</x:v>
      </x:c>
      <x:c r="S185" s="14" t="str"/>
      <x:c r="T185" s="14" t="str"/>
    </x:row>
    <x:row r="186">
      <x:c r="A186" s="12" t="str">
        <x:v>SMP-185</x:v>
      </x:c>
      <x:c r="B186" s="12" t="str">
        <x:v>Mechanical</x:v>
      </x:c>
      <x:c r="C186" s="12" t="str">
        <x:v>Mechanical</x:v>
      </x:c>
      <x:c r="D186" s="14" t="str">
        <x:v>Identification label</x:v>
      </x:c>
      <x:c r="E186" s="14" t="str">
        <x:v>Sample.</x:v>
      </x:c>
      <x:c r="F186" s="14" t="str">
        <x:v>Mandatory</x:v>
      </x:c>
      <x:c r="G186" s="14" t="str">
        <x:v>High</x:v>
      </x:c>
      <x:c r="H186" s="14" t="str"/>
      <x:c r="I186" s="16" t="str"/>
      <x:c r="J186" s="16" t="str"/>
      <x:c r="K186" s="14" t="str"/>
      <x:c r="L186" s="14" t="str">
        <x:v>Not Started</x:v>
      </x:c>
      <x:c r="M186" s="16" t="str"/>
      <x:c r="N186" s="14" t="str">
        <x:v>AURC-25012-MEC-SPC-000001 Rev 2</x:v>
      </x:c>
      <x:c r="O186" s="14" t="str">
        <x:v>Pre-construction submissions – Samples</x:v>
      </x:c>
      <x:c r="P186" s="14" t="n">
        <x:v>18</x:v>
      </x:c>
      <x:c r="Q186" s="14" t="str">
        <x:v>AURC-25012-MEC-SPC-000001 Rev 2 | Pre-construction submissions – Samples | PDF p.18</x:v>
      </x:c>
      <x:c r="R186" s="14" t="str">
        <x:v>Submit a sample for each of following items:</x:v>
      </x:c>
      <x:c r="S186" s="14" t="str"/>
      <x:c r="T186" s="14" t="str"/>
    </x:row>
    <x:row r="187">
      <x:c r="A187" s="12" t="str">
        <x:v>SMP-186</x:v>
      </x:c>
      <x:c r="B187" s="12" t="str">
        <x:v>Mechanical</x:v>
      </x:c>
      <x:c r="C187" s="12" t="str">
        <x:v>Mechanical</x:v>
      </x:c>
      <x:c r="D187" s="14" t="str">
        <x:v>Louvre</x:v>
      </x:c>
      <x:c r="E187" s="14" t="str">
        <x:v>Sample.</x:v>
      </x:c>
      <x:c r="F187" s="14" t="str">
        <x:v>Mandatory</x:v>
      </x:c>
      <x:c r="G187" s="14" t="str">
        <x:v>High</x:v>
      </x:c>
      <x:c r="H187" s="14" t="str"/>
      <x:c r="I187" s="16" t="str"/>
      <x:c r="J187" s="16" t="str"/>
      <x:c r="K187" s="14" t="str"/>
      <x:c r="L187" s="14" t="str">
        <x:v>Not Started</x:v>
      </x:c>
      <x:c r="M187" s="16" t="str"/>
      <x:c r="N187" s="14" t="str">
        <x:v>AURC-25012-MEC-SPC-000001 Rev 2</x:v>
      </x:c>
      <x:c r="O187" s="14" t="str">
        <x:v>Pre-construction submissions – Samples</x:v>
      </x:c>
      <x:c r="P187" s="14" t="n">
        <x:v>18</x:v>
      </x:c>
      <x:c r="Q187" s="14" t="str">
        <x:v>AURC-25012-MEC-SPC-000001 Rev 2 | Pre-construction submissions – Samples | PDF p.18</x:v>
      </x:c>
      <x:c r="R187" s="14" t="str">
        <x:v>Submit a sample for each of following items:</x:v>
      </x:c>
      <x:c r="S187" s="14" t="str"/>
      <x:c r="T187" s="14" t="str"/>
    </x:row>
    <x:row r="188">
      <x:c r="A188" s="12" t="str">
        <x:v>SMP-187</x:v>
      </x:c>
      <x:c r="B188" s="12" t="str">
        <x:v>Mechanical</x:v>
      </x:c>
      <x:c r="C188" s="12" t="str">
        <x:v>Mechanical</x:v>
      </x:c>
      <x:c r="D188" s="14" t="str">
        <x:v>Pipe / duct insulation – each type</x:v>
      </x:c>
      <x:c r="E188" s="14" t="str">
        <x:v>Sample EACH type.</x:v>
      </x:c>
      <x:c r="F188" s="14" t="str">
        <x:v>Mandatory</x:v>
      </x:c>
      <x:c r="G188" s="14" t="str">
        <x:v>High</x:v>
      </x:c>
      <x:c r="H188" s="14" t="str"/>
      <x:c r="I188" s="16" t="str"/>
      <x:c r="J188" s="16" t="str"/>
      <x:c r="K188" s="14" t="str"/>
      <x:c r="L188" s="14" t="str">
        <x:v>Not Started</x:v>
      </x:c>
      <x:c r="M188" s="16" t="str"/>
      <x:c r="N188" s="14" t="str">
        <x:v>AURC-25012-MEC-SPC-000001 Rev 2</x:v>
      </x:c>
      <x:c r="O188" s="14" t="str">
        <x:v>Pre-construction submissions – Samples</x:v>
      </x:c>
      <x:c r="P188" s="14" t="n">
        <x:v>18</x:v>
      </x:c>
      <x:c r="Q188" s="14" t="str">
        <x:v>AURC-25012-MEC-SPC-000001 Rev 2 | Pre-construction submissions – Samples | PDF p.18</x:v>
      </x:c>
      <x:c r="R188" s="14" t="str">
        <x:v>Submit a sample for each of following items:</x:v>
      </x:c>
      <x:c r="S188" s="14" t="str"/>
      <x:c r="T188" s="14" t="str"/>
    </x:row>
    <x:row r="189">
      <x:c r="A189" s="12" t="str">
        <x:v>SMP-188</x:v>
      </x:c>
      <x:c r="B189" s="12" t="str">
        <x:v>Mechanical</x:v>
      </x:c>
      <x:c r="C189" s="12" t="str">
        <x:v>Mechanical</x:v>
      </x:c>
      <x:c r="D189" s="14" t="str">
        <x:v>Pipework expansion support bracket</x:v>
      </x:c>
      <x:c r="E189" s="14" t="str">
        <x:v>Sample.</x:v>
      </x:c>
      <x:c r="F189" s="14" t="str">
        <x:v>Mandatory</x:v>
      </x:c>
      <x:c r="G189" s="14" t="str">
        <x:v>High</x:v>
      </x:c>
      <x:c r="H189" s="14" t="str"/>
      <x:c r="I189" s="16" t="str"/>
      <x:c r="J189" s="16" t="str"/>
      <x:c r="K189" s="14" t="str"/>
      <x:c r="L189" s="14" t="str">
        <x:v>Not Started</x:v>
      </x:c>
      <x:c r="M189" s="16" t="str"/>
      <x:c r="N189" s="14" t="str">
        <x:v>AURC-25012-MEC-SPC-000001 Rev 2</x:v>
      </x:c>
      <x:c r="O189" s="14" t="str">
        <x:v>Pre-construction submissions – Samples</x:v>
      </x:c>
      <x:c r="P189" s="14" t="n">
        <x:v>18</x:v>
      </x:c>
      <x:c r="Q189" s="14" t="str">
        <x:v>AURC-25012-MEC-SPC-000001 Rev 2 | Pre-construction submissions – Samples | PDF p.18</x:v>
      </x:c>
      <x:c r="R189" s="14" t="str">
        <x:v>Submit a sample for each of following items:</x:v>
      </x:c>
      <x:c r="S189" s="14" t="str"/>
      <x:c r="T189" s="14" t="str"/>
    </x:row>
    <x:row r="190">
      <x:c r="A190" s="12" t="str">
        <x:v>SMP-189</x:v>
      </x:c>
      <x:c r="B190" s="12" t="str">
        <x:v>Mechanical</x:v>
      </x:c>
      <x:c r="C190" s="12" t="str">
        <x:v>Mechanical</x:v>
      </x:c>
      <x:c r="D190" s="14" t="str">
        <x:v>Room temperature sensor</x:v>
      </x:c>
      <x:c r="E190" s="14" t="str">
        <x:v>Sample.</x:v>
      </x:c>
      <x:c r="F190" s="14" t="str">
        <x:v>Mandatory</x:v>
      </x:c>
      <x:c r="G190" s="14" t="str">
        <x:v>High</x:v>
      </x:c>
      <x:c r="H190" s="14" t="str"/>
      <x:c r="I190" s="16" t="str"/>
      <x:c r="J190" s="16" t="str"/>
      <x:c r="K190" s="14" t="str"/>
      <x:c r="L190" s="14" t="str">
        <x:v>Not Started</x:v>
      </x:c>
      <x:c r="M190" s="16" t="str"/>
      <x:c r="N190" s="14" t="str">
        <x:v>AURC-25012-MEC-SPC-000001 Rev 2</x:v>
      </x:c>
      <x:c r="O190" s="14" t="str">
        <x:v>Pre-construction submissions – Samples</x:v>
      </x:c>
      <x:c r="P190" s="14" t="n">
        <x:v>18</x:v>
      </x:c>
      <x:c r="Q190" s="14" t="str">
        <x:v>AURC-25012-MEC-SPC-000001 Rev 2 | Pre-construction submissions – Samples | PDF p.18</x:v>
      </x:c>
      <x:c r="R190" s="14" t="str">
        <x:v>Submit a sample for each of following items:</x:v>
      </x:c>
      <x:c r="S190" s="14" t="str"/>
      <x:c r="T190" s="14" t="str"/>
    </x:row>
    <x:row r="191">
      <x:c r="A191" s="12" t="str">
        <x:v>SMP-190</x:v>
      </x:c>
      <x:c r="B191" s="12" t="str">
        <x:v>Mechanical</x:v>
      </x:c>
      <x:c r="C191" s="12" t="str">
        <x:v>Mechanical electrical</x:v>
      </x:c>
      <x:c r="D191" s="14" t="str">
        <x:v>Visible LV accessories / equipment</x:v>
      </x:c>
      <x:c r="E191" s="14" t="str">
        <x:v>ALL visible accessories and equipment; includes switched socket outlets, light switch plates and other accessories.</x:v>
      </x:c>
      <x:c r="F191" s="14" t="str">
        <x:v>Mandatory</x:v>
      </x:c>
      <x:c r="G191" s="14" t="str">
        <x:v>High</x:v>
      </x:c>
      <x:c r="H191" s="14" t="str"/>
      <x:c r="I191" s="16" t="str"/>
      <x:c r="J191" s="16" t="str"/>
      <x:c r="K191" s="14" t="str"/>
      <x:c r="L191" s="14" t="str">
        <x:v>Not Started</x:v>
      </x:c>
      <x:c r="M191" s="16" t="str"/>
      <x:c r="N191" s="14" t="str">
        <x:v>AURC-25012-MEC-SPC-000001 Rev 2</x:v>
      </x:c>
      <x:c r="O191" s="14" t="str">
        <x:v>Electrical services / Samples</x:v>
      </x:c>
      <x:c r="P191" s="14" t="n">
        <x:v>131</x:v>
      </x:c>
      <x:c r="Q191" s="14" t="str">
        <x:v>AURC-25012-MEC-SPC-000001 Rev 2 | Electrical services / Samples | PDF p.131</x:v>
      </x:c>
      <x:c r="R191" s="14" t="str">
        <x:v>Submit samples of all visible accessories and equipment.</x:v>
      </x:c>
      <x:c r="S191" s="14" t="str"/>
      <x:c r="T191" s="14" t="str"/>
    </x:row>
    <x:row r="192">
      <x:c r="A192" s="12" t="str">
        <x:v>SMP-191</x:v>
      </x:c>
      <x:c r="B192" s="12" t="str">
        <x:v>Mechanical</x:v>
      </x:c>
      <x:c r="C192" s="12" t="str">
        <x:v>Mechanical equipment</x:v>
      </x:c>
      <x:c r="D192" s="14" t="str">
        <x:v>Equipment cabinet finish / colour</x:v>
      </x:c>
      <x:c r="E192" s="14" t="str">
        <x:v>Sample finish and colour.</x:v>
      </x:c>
      <x:c r="F192" s="14" t="str">
        <x:v>Mandatory</x:v>
      </x:c>
      <x:c r="G192" s="14" t="str">
        <x:v>High</x:v>
      </x:c>
      <x:c r="H192" s="14" t="str"/>
      <x:c r="I192" s="16" t="str"/>
      <x:c r="J192" s="16" t="str"/>
      <x:c r="K192" s="14" t="str"/>
      <x:c r="L192" s="14" t="str">
        <x:v>Not Started</x:v>
      </x:c>
      <x:c r="M192" s="16" t="str"/>
      <x:c r="N192" s="14" t="str">
        <x:v>AURC-25012-MEC-SPC-000001 Rev 2</x:v>
      </x:c>
      <x:c r="O192" s="14" t="str">
        <x:v>Equipment – Samples</x:v>
      </x:c>
      <x:c r="P192" s="14" t="n">
        <x:v>52</x:v>
      </x:c>
      <x:c r="Q192" s="14" t="str">
        <x:v>AURC-25012-MEC-SPC-000001 Rev 2 | Equipment – Samples | PDF p.52</x:v>
      </x:c>
      <x:c r="R192" s="14" t="str">
        <x:v>Samples Submit samples of the following:</x:v>
      </x:c>
      <x:c r="S192" s="14" t="str"/>
      <x:c r="T192" s="14" t="str"/>
    </x:row>
    <x:row r="193">
      <x:c r="A193" s="12" t="str">
        <x:v>SMP-192</x:v>
      </x:c>
      <x:c r="B193" s="12" t="str">
        <x:v>Mechanical</x:v>
      </x:c>
      <x:c r="C193" s="12" t="str">
        <x:v>Mechanical equipment</x:v>
      </x:c>
      <x:c r="D193" s="14" t="str">
        <x:v>Thermostat / control module exposed in occupied space</x:v>
      </x:c>
      <x:c r="E193" s="14" t="str">
        <x:v>Each type.</x:v>
      </x:c>
      <x:c r="F193" s="14" t="str">
        <x:v>Mandatory</x:v>
      </x:c>
      <x:c r="G193" s="14" t="str">
        <x:v>High</x:v>
      </x:c>
      <x:c r="H193" s="14" t="str"/>
      <x:c r="I193" s="16" t="str"/>
      <x:c r="J193" s="16" t="str"/>
      <x:c r="K193" s="14" t="str"/>
      <x:c r="L193" s="14" t="str">
        <x:v>Not Started</x:v>
      </x:c>
      <x:c r="M193" s="16" t="str"/>
      <x:c r="N193" s="14" t="str">
        <x:v>AURC-25012-MEC-SPC-000001 Rev 2</x:v>
      </x:c>
      <x:c r="O193" s="14" t="str">
        <x:v>Equipment – Samples</x:v>
      </x:c>
      <x:c r="P193" s="14" t="n">
        <x:v>52</x:v>
      </x:c>
      <x:c r="Q193" s="14" t="str">
        <x:v>AURC-25012-MEC-SPC-000001 Rev 2 | Equipment – Samples | PDF p.52</x:v>
      </x:c>
      <x:c r="R193" s="14" t="str">
        <x:v>Samples Submit samples of the following:</x:v>
      </x:c>
      <x:c r="S193" s="14" t="str"/>
      <x:c r="T193" s="14" t="str"/>
    </x:row>
    <x:row r="194">
      <x:c r="A194" s="12" t="str">
        <x:v>SMP-193</x:v>
      </x:c>
      <x:c r="B194" s="12" t="str">
        <x:v>Fire</x:v>
      </x:c>
      <x:c r="C194" s="12" t="str">
        <x:v>Fire services</x:v>
      </x:c>
      <x:c r="D194" s="14" t="str">
        <x:v>All designated fire-services items</x:v>
      </x:c>
      <x:c r="E194" s="14" t="str">
        <x:v>One sample EACH designated item with supporting docs; range if colour/finish choice exists; retain approved samples to PC; work to match.</x:v>
      </x:c>
      <x:c r="F194" s="14" t="str">
        <x:v>Mandatory</x:v>
      </x:c>
      <x:c r="G194" s="14" t="str">
        <x:v>High</x:v>
      </x:c>
      <x:c r="H194" s="14" t="str"/>
      <x:c r="I194" s="16" t="str"/>
      <x:c r="J194" s="16" t="str"/>
      <x:c r="K194" s="14" t="str"/>
      <x:c r="L194" s="14" t="str">
        <x:v>Not Started</x:v>
      </x:c>
      <x:c r="M194" s="16" t="str"/>
      <x:c r="N194" s="14" t="str">
        <x:v>AURC-25012-FES-SPC-000001 Rev 3</x:v>
      </x:c>
      <x:c r="O194" s="14" t="str">
        <x:v>3.5.2 Samples</x:v>
      </x:c>
      <x:c r="P194" s="14" t="n">
        <x:v>23</x:v>
      </x:c>
      <x:c r="Q194" s="14" t="str">
        <x:v>AURC-25012-FES-SPC-000001 Rev 3 | 3.5.2 Samples | PDF p.23</x:v>
      </x:c>
      <x:c r="R194" s="14" t="str">
        <x:v>General: Submit one sample of each designated item with copies of supporting documentation.</x:v>
      </x:c>
      <x:c r="S194" s="14" t="str"/>
      <x:c r="T194" s="14" t="str"/>
    </x:row>
    <x:row r="195">
      <x:c r="A195" s="12" t="str">
        <x:v>SMP-194</x:v>
      </x:c>
      <x:c r="B195" s="12" t="str">
        <x:v>Fire</x:v>
      </x:c>
      <x:c r="C195" s="12" t="str">
        <x:v>Fire services finishes</x:v>
      </x:c>
      <x:c r="D195" s="14" t="str">
        <x:v>Selected architectural paint colour – fire services</x:v>
      </x:c>
      <x:c r="E195" s="14" t="str">
        <x:v>Submit sample of selected architectural paint colour.</x:v>
      </x:c>
      <x:c r="F195" s="14" t="str">
        <x:v>Mandatory</x:v>
      </x:c>
      <x:c r="G195" s="14" t="str">
        <x:v>High</x:v>
      </x:c>
      <x:c r="H195" s="14" t="str"/>
      <x:c r="I195" s="16" t="str"/>
      <x:c r="J195" s="16" t="str"/>
      <x:c r="K195" s="14" t="str"/>
      <x:c r="L195" s="14" t="str">
        <x:v>Not Started</x:v>
      </x:c>
      <x:c r="M195" s="16" t="str"/>
      <x:c r="N195" s="14" t="str">
        <x:v>AURC-25012-FES-SPC-000001 Rev 3</x:v>
      </x:c>
      <x:c r="O195" s="14" t="str">
        <x:v>Painting / Samples</x:v>
      </x:c>
      <x:c r="P195" s="14" t="n">
        <x:v>31</x:v>
      </x:c>
      <x:c r="Q195" s="14" t="str">
        <x:v>AURC-25012-FES-SPC-000001 Rev 3 | Painting / Samples | PDF p.31</x:v>
      </x:c>
      <x:c r="R195" s="14" t="str">
        <x:v>Submit samples of selected architectural paint colour.</x:v>
      </x:c>
      <x:c r="S195" s="14" t="str"/>
      <x:c r="T195" s="14" t="str"/>
    </x:row>
    <x:row r="196">
      <x:c r="A196" s="12" t="str">
        <x:v>SMP-195</x:v>
      </x:c>
      <x:c r="B196" s="12" t="str">
        <x:v>Security</x:v>
      </x:c>
      <x:c r="C196" s="12" t="str">
        <x:v>Access control</x:v>
      </x:c>
      <x:c r="D196" s="14" t="str">
        <x:v>Break-glass release – mullion-mounted</x:v>
      </x:c>
      <x:c r="E196" s="14" t="str">
        <x:v>Sample before installation.</x:v>
      </x:c>
      <x:c r="F196" s="14" t="str">
        <x:v>Mandatory</x:v>
      </x:c>
      <x:c r="G196" s="14" t="str">
        <x:v>High</x:v>
      </x:c>
      <x:c r="H196" s="14" t="str"/>
      <x:c r="I196" s="16" t="str"/>
      <x:c r="J196" s="16" t="str"/>
      <x:c r="K196" s="14" t="str"/>
      <x:c r="L196" s="14" t="str">
        <x:v>Not Started</x:v>
      </x:c>
      <x:c r="M196" s="16" t="str"/>
      <x:c r="N196" s="14" t="str">
        <x:v>AURC-25012-SEC-SPC-000001 Rev 2</x:v>
      </x:c>
      <x:c r="O196" s="14" t="str">
        <x:v>7.7 Break Glass Door Release Unit</x:v>
      </x:c>
      <x:c r="P196" s="14" t="n">
        <x:v>28</x:v>
      </x:c>
      <x:c r="Q196" s="14" t="str">
        <x:v>AURC-25012-SEC-SPC-000001 Rev 2 | 7.7 Break Glass Door Release Unit | PDF p.28</x:v>
      </x:c>
      <x:c r="R196" s="14" t="str">
        <x:v>A sample for both wall mounted, and mullion mounted types shall be submitted for approval prior to installation.</x:v>
      </x:c>
      <x:c r="S196" s="14" t="str"/>
      <x:c r="T196" s="14" t="str"/>
    </x:row>
    <x:row r="197">
      <x:c r="A197" s="12" t="str">
        <x:v>SMP-196</x:v>
      </x:c>
      <x:c r="B197" s="12" t="str">
        <x:v>Security</x:v>
      </x:c>
      <x:c r="C197" s="12" t="str">
        <x:v>Access control</x:v>
      </x:c>
      <x:c r="D197" s="14" t="str">
        <x:v>Break-glass release – wall-mounted</x:v>
      </x:c>
      <x:c r="E197" s="14" t="str">
        <x:v>Sample before installation.</x:v>
      </x:c>
      <x:c r="F197" s="14" t="str">
        <x:v>Mandatory</x:v>
      </x:c>
      <x:c r="G197" s="14" t="str">
        <x:v>High</x:v>
      </x:c>
      <x:c r="H197" s="14" t="str"/>
      <x:c r="I197" s="16" t="str"/>
      <x:c r="J197" s="16" t="str"/>
      <x:c r="K197" s="14" t="str"/>
      <x:c r="L197" s="14" t="str">
        <x:v>Not Started</x:v>
      </x:c>
      <x:c r="M197" s="16" t="str"/>
      <x:c r="N197" s="14" t="str">
        <x:v>AURC-25012-SEC-SPC-000001 Rev 2</x:v>
      </x:c>
      <x:c r="O197" s="14" t="str">
        <x:v>7.7 Break Glass Door Release Unit</x:v>
      </x:c>
      <x:c r="P197" s="14" t="n">
        <x:v>28</x:v>
      </x:c>
      <x:c r="Q197" s="14" t="str">
        <x:v>AURC-25012-SEC-SPC-000001 Rev 2 | 7.7 Break Glass Door Release Unit | PDF p.28</x:v>
      </x:c>
      <x:c r="R197" s="14" t="str">
        <x:v>A sample for both wall mounted, and mullion mounted types shall be submitted for approval prior to installation.</x:v>
      </x:c>
      <x:c r="S197" s="14" t="str"/>
      <x:c r="T197" s="14" t="str"/>
    </x:row>
    <x:row r="198">
      <x:c r="A198" s="12" t="str">
        <x:v>SMP-197</x:v>
      </x:c>
      <x:c r="B198" s="12" t="str">
        <x:v>Security</x:v>
      </x:c>
      <x:c r="C198" s="12" t="str">
        <x:v>Access control</x:v>
      </x:c>
      <x:c r="D198" s="14" t="str">
        <x:v>REX button – mullion-mounted</x:v>
      </x:c>
      <x:c r="E198" s="14" t="str">
        <x:v>Sample before installation.</x:v>
      </x:c>
      <x:c r="F198" s="14" t="str">
        <x:v>Mandatory</x:v>
      </x:c>
      <x:c r="G198" s="14" t="str">
        <x:v>High</x:v>
      </x:c>
      <x:c r="H198" s="14" t="str"/>
      <x:c r="I198" s="16" t="str"/>
      <x:c r="J198" s="16" t="str"/>
      <x:c r="K198" s="14" t="str"/>
      <x:c r="L198" s="14" t="str">
        <x:v>Not Started</x:v>
      </x:c>
      <x:c r="M198" s="16" t="str"/>
      <x:c r="N198" s="14" t="str">
        <x:v>AURC-25012-SEC-SPC-000001 Rev 2</x:v>
      </x:c>
      <x:c r="O198" s="14" t="str">
        <x:v>7.8 Request-to-exit (REX) Button</x:v>
      </x:c>
      <x:c r="P198" s="14" t="n">
        <x:v>29</x:v>
      </x:c>
      <x:c r="Q198" s="14" t="str">
        <x:v>AURC-25012-SEC-SPC-000001 Rev 2 | 7.8 Request-to-exit (REX) Button | PDF p.29</x:v>
      </x:c>
      <x:c r="R198" s="14" t="str">
        <x:v>Sample for both wall-mounted, and mullion mounted type shall be submitted for approval prior to installation.</x:v>
      </x:c>
      <x:c r="S198" s="14" t="str"/>
      <x:c r="T198" s="14" t="str"/>
    </x:row>
    <x:row r="199">
      <x:c r="A199" s="12" t="str">
        <x:v>SMP-198</x:v>
      </x:c>
      <x:c r="B199" s="12" t="str">
        <x:v>Security</x:v>
      </x:c>
      <x:c r="C199" s="12" t="str">
        <x:v>Access control</x:v>
      </x:c>
      <x:c r="D199" s="14" t="str">
        <x:v>REX button – wall-mounted</x:v>
      </x:c>
      <x:c r="E199" s="14" t="str">
        <x:v>Sample before installation.</x:v>
      </x:c>
      <x:c r="F199" s="14" t="str">
        <x:v>Mandatory</x:v>
      </x:c>
      <x:c r="G199" s="14" t="str">
        <x:v>High</x:v>
      </x:c>
      <x:c r="H199" s="14" t="str"/>
      <x:c r="I199" s="16" t="str"/>
      <x:c r="J199" s="16" t="str"/>
      <x:c r="K199" s="14" t="str"/>
      <x:c r="L199" s="14" t="str">
        <x:v>Not Started</x:v>
      </x:c>
      <x:c r="M199" s="16" t="str"/>
      <x:c r="N199" s="14" t="str">
        <x:v>AURC-25012-SEC-SPC-000001 Rev 2</x:v>
      </x:c>
      <x:c r="O199" s="14" t="str">
        <x:v>7.8 Request-to-exit (REX) Button</x:v>
      </x:c>
      <x:c r="P199" s="14" t="n">
        <x:v>29</x:v>
      </x:c>
      <x:c r="Q199" s="14" t="str">
        <x:v>AURC-25012-SEC-SPC-000001 Rev 2 | 7.8 Request-to-exit (REX) Button | PDF p.29</x:v>
      </x:c>
      <x:c r="R199" s="14" t="str">
        <x:v>Sample for both wall-mounted, and mullion mounted type shall be submitted for approval prior to installation.</x:v>
      </x:c>
      <x:c r="S199" s="14" t="str"/>
      <x:c r="T199" s="14" t="str"/>
    </x:row>
    <x:row r="200">
      <x:c r="A200" s="12" t="str">
        <x:v>SMP-199</x:v>
      </x:c>
      <x:c r="B200" s="12" t="str">
        <x:v>Security</x:v>
      </x:c>
      <x:c r="C200" s="12" t="str">
        <x:v>Identification</x:v>
      </x:c>
      <x:c r="D200" s="14" t="str">
        <x:v>Security labels / markers / identifiers</x:v>
      </x:c>
      <x:c r="E200" s="14" t="str">
        <x:v>Sample EACH style.</x:v>
      </x:c>
      <x:c r="F200" s="14" t="str">
        <x:v>Mandatory</x:v>
      </x:c>
      <x:c r="G200" s="14" t="str">
        <x:v>High</x:v>
      </x:c>
      <x:c r="H200" s="14" t="str"/>
      <x:c r="I200" s="16" t="str"/>
      <x:c r="J200" s="16" t="str"/>
      <x:c r="K200" s="14" t="str"/>
      <x:c r="L200" s="14" t="str">
        <x:v>Not Started</x:v>
      </x:c>
      <x:c r="M200" s="16" t="str"/>
      <x:c r="N200" s="14" t="str">
        <x:v>AURC-25012-SEC-SPC-000001 Rev 2</x:v>
      </x:c>
      <x:c r="O200" s="14" t="str">
        <x:v>12.4.5.1 Samples</x:v>
      </x:c>
      <x:c r="P200" s="14" t="n">
        <x:v>49</x:v>
      </x:c>
      <x:c r="Q200" s="14" t="str">
        <x:v>AURC-25012-SEC-SPC-000001 Rev 2 | 12.4.5.1 Samples | PDF p.49</x:v>
      </x:c>
      <x:c r="R200" s="14" t="str">
        <x:v>Submit samples of each style of label, marker, or identifier.</x:v>
      </x:c>
      <x:c r="S200" s="14" t="str"/>
      <x:c r="T200" s="14" t="str"/>
    </x:row>
    <x:row r="201">
      <x:c r="A201" s="12" t="str">
        <x:v>SMP-200</x:v>
      </x:c>
      <x:c r="B201" s="12" t="str">
        <x:v>Security</x:v>
      </x:c>
      <x:c r="C201" s="12" t="str">
        <x:v>Security</x:v>
      </x:c>
      <x:c r="D201" s="14" t="str">
        <x:v>All designated security items</x:v>
      </x:c>
      <x:c r="E201" s="14" t="str">
        <x:v>One sample EACH designated item with supporting docs; range if colour/finish choice exists; retain until PC.</x:v>
      </x:c>
      <x:c r="F201" s="14" t="str">
        <x:v>Mandatory</x:v>
      </x:c>
      <x:c r="G201" s="14" t="str">
        <x:v>High</x:v>
      </x:c>
      <x:c r="H201" s="14" t="str"/>
      <x:c r="I201" s="16" t="str"/>
      <x:c r="J201" s="16" t="str"/>
      <x:c r="K201" s="14" t="str"/>
      <x:c r="L201" s="14" t="str">
        <x:v>Not Started</x:v>
      </x:c>
      <x:c r="M201" s="16" t="str"/>
      <x:c r="N201" s="14" t="str">
        <x:v>AURC-25012-SEC-SPC-000001 Rev 2</x:v>
      </x:c>
      <x:c r="O201" s="14" t="str">
        <x:v>12.2.2 Samples</x:v>
      </x:c>
      <x:c r="P201" s="14" t="n">
        <x:v>46</x:v>
      </x:c>
      <x:c r="Q201" s="14" t="str">
        <x:v>AURC-25012-SEC-SPC-000001 Rev 2 | 12.2.2 Samples | PDF p.46</x:v>
      </x:c>
      <x:c r="R201" s="14" t="str">
        <x:v>Submit one sample of each designated item with copies of supporting documentation.</x:v>
      </x:c>
      <x:c r="S201" s="14" t="str"/>
      <x:c r="T201" s="14" t="str"/>
    </x:row>
    <x:row r="202">
      <x:c r="A202" s="12" t="str">
        <x:v>SMP-201</x:v>
      </x:c>
      <x:c r="B202" s="12" t="str">
        <x:v>Civil</x:v>
      </x:c>
      <x:c r="C202" s="12" t="str">
        <x:v>Civil materials</x:v>
      </x:c>
      <x:c r="D202" s="14" t="str">
        <x:v>Imported material representative samples / test results</x:v>
      </x:c>
      <x:c r="E202" s="14" t="str">
        <x:v>Representative samples and classification/compaction test results before delivery as specified.</x:v>
      </x:c>
      <x:c r="F202" s="14" t="str">
        <x:v>QA / approval sample</x:v>
      </x:c>
      <x:c r="G202" s="14" t="str">
        <x:v>High</x:v>
      </x:c>
      <x:c r="H202" s="14" t="str"/>
      <x:c r="I202" s="16" t="str"/>
      <x:c r="J202" s="16" t="str"/>
      <x:c r="K202" s="14" t="str"/>
      <x:c r="L202" s="14" t="str">
        <x:v>Not Started</x:v>
      </x:c>
      <x:c r="M202" s="16" t="str"/>
      <x:c r="N202" s="14" t="str">
        <x:v>COLL-25012-CIV-SPC-00001 Rev B</x:v>
      </x:c>
      <x:c r="O202" s="14" t="str">
        <x:v>General imported materials requirements</x:v>
      </x:c>
      <x:c r="P202" s="14" t="n">
        <x:v>12</x:v>
      </x:c>
      <x:c r="Q202" s="14" t="str">
        <x:v>COLL-25012-CIV-SPC-00001 Rev B | General imported materials requirements | PDF p.12</x:v>
      </x:c>
      <x:c r="R202" s="14" t="str">
        <x:v>The contractor shall provide material classification and compaction test results on representative samples of any proposed imported materials</x:v>
      </x:c>
      <x:c r="S202" s="14" t="str"/>
      <x:c r="T202" s="14" t="str"/>
    </x:row>
    <x:row r="203">
      <x:c r="A203" s="12" t="str">
        <x:v>SMP-202</x:v>
      </x:c>
      <x:c r="B203" s="12" t="str">
        <x:v>Civil</x:v>
      </x:c>
      <x:c r="C203" s="12" t="str">
        <x:v>Rock pitching</x:v>
      </x:c>
      <x:c r="D203" s="14" t="str">
        <x:v>Rock pitching benchmark panel – each type</x:v>
      </x:c>
      <x:c r="E203" s="14" t="str">
        <x:v>At least 1.5 m high x 2 m long; show colour, texture, grain, surface treatment, rock size and jointing; retain until stonework complete.</x:v>
      </x:c>
      <x:c r="F203" s="14" t="str">
        <x:v>Mandatory</x:v>
      </x:c>
      <x:c r="G203" s="14" t="str">
        <x:v>High</x:v>
      </x:c>
      <x:c r="H203" s="14" t="str"/>
      <x:c r="I203" s="16" t="str"/>
      <x:c r="J203" s="16" t="str"/>
      <x:c r="K203" s="14" t="str"/>
      <x:c r="L203" s="14" t="str">
        <x:v>Not Started</x:v>
      </x:c>
      <x:c r="M203" s="16" t="str"/>
      <x:c r="N203" s="14" t="str">
        <x:v>COLL-25012-CIV-SPC-00001 Rev B</x:v>
      </x:c>
      <x:c r="O203" s="14" t="str">
        <x:v>Rock pitching</x:v>
      </x:c>
      <x:c r="P203" s="14" t="n">
        <x:v>28</x:v>
      </x:c>
      <x:c r="Q203" s="14" t="str">
        <x:v>COLL-25012-CIV-SPC-00001 Rev B | Rock pitching | PDF p.28</x:v>
      </x:c>
      <x:c r="R203" s="14" t="str">
        <x:v>Prior to the commencement of rock pitching, the contractor shall prepare a sample panel of each type of rock pitching</x:v>
      </x:c>
      <x:c r="S203" s="14" t="str"/>
      <x:c r="T203" s="14" t="str"/>
    </x:row>
    <x:row r="204">
      <x:c r="A204" s="12" t="str">
        <x:v>SMP-203</x:v>
      </x:c>
      <x:c r="B204" s="12" t="str">
        <x:v>Civil</x:v>
      </x:c>
      <x:c r="C204" s="12" t="str">
        <x:v>Rock protection</x:v>
      </x:c>
      <x:c r="D204" s="14" t="str">
        <x:v>Rock protection material</x:v>
      </x:c>
      <x:c r="E204" s="14" t="str">
        <x:v>Representative sample for Contract Administrator approval.</x:v>
      </x:c>
      <x:c r="F204" s="14" t="str">
        <x:v>Mandatory</x:v>
      </x:c>
      <x:c r="G204" s="14" t="str">
        <x:v>High</x:v>
      </x:c>
      <x:c r="H204" s="14" t="str"/>
      <x:c r="I204" s="16" t="str"/>
      <x:c r="J204" s="16" t="str"/>
      <x:c r="K204" s="14" t="str"/>
      <x:c r="L204" s="14" t="str">
        <x:v>Not Started</x:v>
      </x:c>
      <x:c r="M204" s="16" t="str"/>
      <x:c r="N204" s="14" t="str">
        <x:v>COLL-25012-CIV-SPC-00001 Rev B</x:v>
      </x:c>
      <x:c r="O204" s="14" t="str">
        <x:v>Rock protection</x:v>
      </x:c>
      <x:c r="P204" s="14" t="n">
        <x:v>22</x:v>
      </x:c>
      <x:c r="Q204" s="14" t="str">
        <x:v>COLL-25012-CIV-SPC-00001 Rev B | Rock protection | PDF p.22</x:v>
      </x:c>
      <x:c r="R204" s="14" t="str">
        <x:v>The contractor shall submit a representative sample for approval by the Contract Administrator.</x:v>
      </x:c>
      <x:c r="S204" s="14" t="str"/>
      <x:c r="T204" s="14" t="str"/>
    </x:row>
    <x:row r="205">
      <x:c r="A205" s="12" t="str">
        <x:v>SMP-204</x:v>
      </x:c>
      <x:c r="B205" s="12" t="str">
        <x:v>Civil / AFL</x:v>
      </x:c>
      <x:c r="C205" s="12" t="str">
        <x:v>Airfield lighting</x:v>
      </x:c>
      <x:c r="D205" s="14" t="str">
        <x:v>AFL fitting – each type</x:v>
      </x:c>
      <x:c r="E205" s="14" t="str">
        <x:v>1 off EACH type of AFL fitting.</x:v>
      </x:c>
      <x:c r="F205" s="14" t="str">
        <x:v>Mandatory</x:v>
      </x:c>
      <x:c r="G205" s="14" t="str">
        <x:v>High</x:v>
      </x:c>
      <x:c r="H205" s="14" t="str"/>
      <x:c r="I205" s="16" t="str"/>
      <x:c r="J205" s="16" t="str"/>
      <x:c r="K205" s="14" t="str"/>
      <x:c r="L205" s="14" t="str">
        <x:v>Not Started</x:v>
      </x:c>
      <x:c r="M205" s="16" t="str"/>
      <x:c r="N205" s="14" t="str">
        <x:v>JACO-25012-CIV-SPC-00001</x:v>
      </x:c>
      <x:c r="O205" s="14" t="str">
        <x:v>18.1.4.1.5 Samples</x:v>
      </x:c>
      <x:c r="P205" s="14" t="n">
        <x:v>104</x:v>
      </x:c>
      <x:c r="Q205" s="14" t="str">
        <x:v>JACO-25012-CIV-SPC-00001 | 18.1.4.1.5 Samples | PDF p.104</x:v>
      </x:c>
      <x:c r="R205" s="14" t="str">
        <x:v>The following samples are required:</x:v>
      </x:c>
      <x:c r="S205" s="14" t="str"/>
      <x:c r="T205" s="14" t="str"/>
    </x:row>
    <x:row r="206">
      <x:c r="A206" s="12" t="str">
        <x:v>SMP-205</x:v>
      </x:c>
      <x:c r="B206" s="12" t="str">
        <x:v>Civil / AFL</x:v>
      </x:c>
      <x:c r="C206" s="12" t="str">
        <x:v>Airfield lighting</x:v>
      </x:c>
      <x:c r="D206" s="14" t="str">
        <x:v>AFL materials &amp; equipment – all intended items</x:v>
      </x:c>
      <x:c r="E206" s="14" t="str">
        <x:v>Submit samples of intended materials/equipment as specified; identify supplier/manufacturer/model/reference and retain approved samples until PC.</x:v>
      </x:c>
      <x:c r="F206" s="14" t="str">
        <x:v>Mandatory</x:v>
      </x:c>
      <x:c r="G206" s="14" t="str">
        <x:v>High</x:v>
      </x:c>
      <x:c r="H206" s="14" t="str"/>
      <x:c r="I206" s="16" t="str"/>
      <x:c r="J206" s="16" t="str"/>
      <x:c r="K206" s="14" t="str"/>
      <x:c r="L206" s="14" t="str">
        <x:v>Not Started</x:v>
      </x:c>
      <x:c r="M206" s="16" t="str"/>
      <x:c r="N206" s="14" t="str">
        <x:v>JACO-25012-CIV-SPC-00001</x:v>
      </x:c>
      <x:c r="O206" s="14" t="str">
        <x:v>18.1.4.1.5 Samples</x:v>
      </x:c>
      <x:c r="P206" s="14" t="n">
        <x:v>103</x:v>
      </x:c>
      <x:c r="Q206" s="14" t="str">
        <x:v>JACO-25012-CIV-SPC-00001 | 18.1.4.1.5 Samples | PDF p.103</x:v>
      </x:c>
      <x:c r="R206" s="14" t="str">
        <x:v>The Contractor shall submit samples of all materials and equipment which are intended to be used in the</x:v>
      </x:c>
      <x:c r="S206" s="14" t="str"/>
      <x:c r="T206" s="14" t="str"/>
    </x:row>
    <x:row r="207">
      <x:c r="I207" s="17"/>
      <x:c r="J207" s="17"/>
      <x:c r="M207" s="17"/>
    </x:row>
    <x:row r="208">
      <x:c r="I208" s="17"/>
      <x:c r="J208" s="17"/>
      <x:c r="M208" s="17"/>
    </x:row>
    <x:row r="209">
      <x:c r="I209" s="17"/>
      <x:c r="J209" s="17"/>
      <x:c r="M209" s="17"/>
    </x:row>
    <x:row r="210">
      <x:c r="I210" s="17"/>
      <x:c r="J210" s="17"/>
      <x:c r="M210" s="17"/>
    </x:row>
    <x:row r="211">
      <x:c r="I211" s="17"/>
      <x:c r="J211" s="17"/>
      <x:c r="M211" s="17"/>
    </x:row>
    <x:row r="212">
      <x:c r="I212" s="17"/>
      <x:c r="J212" s="17"/>
      <x:c r="M212" s="17"/>
    </x:row>
    <x:row r="213">
      <x:c r="I213" s="17"/>
      <x:c r="J213" s="17"/>
      <x:c r="M213" s="17"/>
    </x:row>
    <x:row r="214">
      <x:c r="I214" s="17"/>
      <x:c r="J214" s="17"/>
      <x:c r="M214" s="17"/>
    </x:row>
    <x:row r="215">
      <x:c r="I215" s="17"/>
      <x:c r="J215" s="17"/>
      <x:c r="M215" s="17"/>
    </x:row>
    <x:row r="216">
      <x:c r="I216" s="17"/>
      <x:c r="J216" s="17"/>
      <x:c r="M216" s="17"/>
    </x:row>
    <x:row r="217">
      <x:c r="I217" s="17"/>
      <x:c r="J217" s="17"/>
      <x:c r="M217" s="17"/>
    </x:row>
    <x:row r="218">
      <x:c r="I218" s="17"/>
      <x:c r="J218" s="17"/>
      <x:c r="M218" s="17"/>
    </x:row>
    <x:row r="219">
      <x:c r="I219" s="17"/>
      <x:c r="J219" s="17"/>
      <x:c r="M219" s="17"/>
    </x:row>
    <x:row r="220">
      <x:c r="I220" s="17"/>
      <x:c r="J220" s="17"/>
      <x:c r="M220" s="17"/>
    </x:row>
    <x:row r="221">
      <x:c r="I221" s="17"/>
      <x:c r="J221" s="17"/>
      <x:c r="M221" s="17"/>
    </x:row>
    <x:row r="222">
      <x:c r="I222" s="17"/>
      <x:c r="J222" s="17"/>
      <x:c r="M222" s="17"/>
    </x:row>
    <x:row r="223">
      <x:c r="I223" s="17"/>
      <x:c r="J223" s="17"/>
      <x:c r="M223" s="17"/>
    </x:row>
    <x:row r="224">
      <x:c r="I224" s="17"/>
      <x:c r="J224" s="17"/>
      <x:c r="M224" s="17"/>
    </x:row>
    <x:row r="225">
      <x:c r="I225" s="17"/>
      <x:c r="J225" s="17"/>
      <x:c r="M225" s="17"/>
    </x:row>
    <x:row r="226">
      <x:c r="I226" s="17"/>
      <x:c r="J226" s="17"/>
      <x:c r="M226" s="17"/>
    </x:row>
    <x:row r="227">
      <x:c r="I227" s="17"/>
      <x:c r="J227" s="17"/>
      <x:c r="M227" s="17"/>
    </x:row>
    <x:row r="228">
      <x:c r="I228" s="17"/>
      <x:c r="J228" s="17"/>
      <x:c r="M228" s="17"/>
    </x:row>
    <x:row r="229">
      <x:c r="I229" s="17"/>
      <x:c r="J229" s="17"/>
      <x:c r="M229" s="17"/>
    </x:row>
    <x:row r="230">
      <x:c r="I230" s="17"/>
      <x:c r="J230" s="17"/>
      <x:c r="M230" s="17"/>
    </x:row>
    <x:row r="231">
      <x:c r="I231" s="17"/>
      <x:c r="J231" s="17"/>
      <x:c r="M231" s="17"/>
    </x:row>
    <x:row r="232">
      <x:c r="I232" s="17"/>
      <x:c r="J232" s="17"/>
      <x:c r="M232" s="17"/>
    </x:row>
    <x:row r="233">
      <x:c r="I233" s="17"/>
      <x:c r="J233" s="17"/>
      <x:c r="M233" s="17"/>
    </x:row>
    <x:row r="234">
      <x:c r="I234" s="17"/>
      <x:c r="J234" s="17"/>
      <x:c r="M234" s="17"/>
    </x:row>
    <x:row r="235">
      <x:c r="I235" s="17"/>
      <x:c r="J235" s="17"/>
      <x:c r="M235" s="17"/>
    </x:row>
    <x:row r="236">
      <x:c r="I236" s="17"/>
      <x:c r="J236" s="17"/>
      <x:c r="M236" s="17"/>
    </x:row>
    <x:row r="237">
      <x:c r="I237" s="17"/>
      <x:c r="J237" s="17"/>
      <x:c r="M237" s="17"/>
    </x:row>
    <x:row r="238">
      <x:c r="I238" s="17"/>
      <x:c r="J238" s="17"/>
      <x:c r="M238" s="17"/>
    </x:row>
    <x:row r="239">
      <x:c r="I239" s="17"/>
      <x:c r="J239" s="17"/>
      <x:c r="M239" s="17"/>
    </x:row>
    <x:row r="240">
      <x:c r="I240" s="17"/>
      <x:c r="J240" s="17"/>
      <x:c r="M240" s="17"/>
    </x:row>
    <x:row r="241">
      <x:c r="I241" s="17"/>
      <x:c r="J241" s="17"/>
      <x:c r="M241" s="17"/>
    </x:row>
    <x:row r="242">
      <x:c r="I242" s="17"/>
      <x:c r="J242" s="17"/>
      <x:c r="M242" s="17"/>
    </x:row>
    <x:row r="243">
      <x:c r="I243" s="17"/>
      <x:c r="J243" s="17"/>
      <x:c r="M243" s="17"/>
    </x:row>
    <x:row r="244">
      <x:c r="I244" s="17"/>
      <x:c r="J244" s="17"/>
      <x:c r="M244" s="17"/>
    </x:row>
    <x:row r="245">
      <x:c r="I245" s="17"/>
      <x:c r="J245" s="17"/>
      <x:c r="M245" s="17"/>
    </x:row>
    <x:row r="246">
      <x:c r="I246" s="17"/>
      <x:c r="J246" s="17"/>
      <x:c r="M246" s="17"/>
    </x:row>
    <x:row r="247">
      <x:c r="I247" s="17"/>
      <x:c r="J247" s="17"/>
      <x:c r="M247" s="17"/>
    </x:row>
    <x:row r="248">
      <x:c r="I248" s="17"/>
      <x:c r="J248" s="17"/>
      <x:c r="M248" s="17"/>
    </x:row>
    <x:row r="249">
      <x:c r="I249" s="17"/>
      <x:c r="J249" s="17"/>
      <x:c r="M249" s="17"/>
    </x:row>
    <x:row r="250">
      <x:c r="I250" s="17"/>
      <x:c r="J250" s="17"/>
      <x:c r="M250" s="17"/>
    </x:row>
    <x:row r="251">
      <x:c r="I251" s="17"/>
      <x:c r="J251" s="17"/>
      <x:c r="M251" s="17"/>
    </x:row>
    <x:row r="252">
      <x:c r="I252" s="17"/>
      <x:c r="J252" s="17"/>
      <x:c r="M252" s="17"/>
    </x:row>
    <x:row r="253">
      <x:c r="I253" s="17"/>
      <x:c r="J253" s="17"/>
      <x:c r="M253" s="17"/>
    </x:row>
    <x:row r="254">
      <x:c r="I254" s="17"/>
      <x:c r="J254" s="17"/>
      <x:c r="M254" s="17"/>
    </x:row>
    <x:row r="255">
      <x:c r="I255" s="17"/>
      <x:c r="J255" s="17"/>
      <x:c r="M255" s="17"/>
    </x:row>
    <x:row r="256">
      <x:c r="I256" s="17"/>
      <x:c r="J256" s="17"/>
      <x:c r="M256" s="17"/>
    </x:row>
    <x:row r="257">
      <x:c r="I257" s="17"/>
      <x:c r="J257" s="17"/>
      <x:c r="M257" s="17"/>
    </x:row>
    <x:row r="258">
      <x:c r="I258" s="17"/>
      <x:c r="J258" s="17"/>
      <x:c r="M258" s="17"/>
    </x:row>
    <x:row r="259">
      <x:c r="I259" s="17"/>
      <x:c r="J259" s="17"/>
      <x:c r="M259" s="17"/>
    </x:row>
    <x:row r="260">
      <x:c r="I260" s="17"/>
      <x:c r="J260" s="17"/>
      <x:c r="M260" s="17"/>
    </x:row>
    <x:row r="261">
      <x:c r="I261" s="17"/>
      <x:c r="J261" s="17"/>
      <x:c r="M261" s="17"/>
    </x:row>
    <x:row r="262">
      <x:c r="I262" s="17"/>
      <x:c r="J262" s="17"/>
      <x:c r="M262" s="17"/>
    </x:row>
    <x:row r="263">
      <x:c r="I263" s="17"/>
      <x:c r="J263" s="17"/>
      <x:c r="M263" s="17"/>
    </x:row>
    <x:row r="264">
      <x:c r="I264" s="17"/>
      <x:c r="J264" s="17"/>
      <x:c r="M264" s="17"/>
    </x:row>
    <x:row r="265">
      <x:c r="I265" s="17"/>
      <x:c r="J265" s="17"/>
      <x:c r="M265" s="17"/>
    </x:row>
    <x:row r="266">
      <x:c r="I266" s="17"/>
      <x:c r="J266" s="17"/>
      <x:c r="M266" s="17"/>
    </x:row>
    <x:row r="267">
      <x:c r="I267" s="17"/>
      <x:c r="J267" s="17"/>
      <x:c r="M267" s="17"/>
    </x:row>
    <x:row r="268">
      <x:c r="I268" s="17"/>
      <x:c r="J268" s="17"/>
      <x:c r="M268" s="17"/>
    </x:row>
    <x:row r="269">
      <x:c r="I269" s="17"/>
      <x:c r="J269" s="17"/>
      <x:c r="M269" s="17"/>
    </x:row>
    <x:row r="270">
      <x:c r="I270" s="17"/>
      <x:c r="J270" s="17"/>
      <x:c r="M270" s="17"/>
    </x:row>
    <x:row r="271">
      <x:c r="I271" s="17"/>
      <x:c r="J271" s="17"/>
      <x:c r="M271" s="17"/>
    </x:row>
    <x:row r="272">
      <x:c r="I272" s="17"/>
      <x:c r="J272" s="17"/>
      <x:c r="M272" s="17"/>
    </x:row>
    <x:row r="273">
      <x:c r="I273" s="17"/>
      <x:c r="J273" s="17"/>
      <x:c r="M273" s="17"/>
    </x:row>
    <x:row r="274">
      <x:c r="I274" s="17"/>
      <x:c r="J274" s="17"/>
      <x:c r="M274" s="17"/>
    </x:row>
    <x:row r="275">
      <x:c r="I275" s="17"/>
      <x:c r="J275" s="17"/>
      <x:c r="M275" s="17"/>
    </x:row>
    <x:row r="276">
      <x:c r="I276" s="17"/>
      <x:c r="J276" s="17"/>
      <x:c r="M276" s="17"/>
    </x:row>
    <x:row r="277">
      <x:c r="I277" s="17"/>
      <x:c r="J277" s="17"/>
      <x:c r="M277" s="17"/>
    </x:row>
    <x:row r="278">
      <x:c r="I278" s="17"/>
      <x:c r="J278" s="17"/>
      <x:c r="M278" s="17"/>
    </x:row>
    <x:row r="279">
      <x:c r="I279" s="17"/>
      <x:c r="J279" s="17"/>
      <x:c r="M279" s="17"/>
    </x:row>
    <x:row r="280">
      <x:c r="I280" s="17"/>
      <x:c r="J280" s="17"/>
      <x:c r="M280" s="17"/>
    </x:row>
    <x:row r="281">
      <x:c r="I281" s="17"/>
      <x:c r="J281" s="17"/>
      <x:c r="M281" s="17"/>
    </x:row>
    <x:row r="282">
      <x:c r="I282" s="17"/>
      <x:c r="J282" s="17"/>
      <x:c r="M282" s="17"/>
    </x:row>
    <x:row r="283">
      <x:c r="I283" s="17"/>
      <x:c r="J283" s="17"/>
      <x:c r="M283" s="17"/>
    </x:row>
    <x:row r="284">
      <x:c r="I284" s="17"/>
      <x:c r="J284" s="17"/>
      <x:c r="M284" s="17"/>
    </x:row>
    <x:row r="285">
      <x:c r="I285" s="17"/>
      <x:c r="J285" s="17"/>
      <x:c r="M285" s="17"/>
    </x:row>
    <x:row r="286">
      <x:c r="I286" s="17"/>
      <x:c r="J286" s="17"/>
      <x:c r="M286" s="17"/>
    </x:row>
    <x:row r="287">
      <x:c r="I287" s="17"/>
      <x:c r="J287" s="17"/>
      <x:c r="M287" s="17"/>
    </x:row>
    <x:row r="288">
      <x:c r="I288" s="17"/>
      <x:c r="J288" s="17"/>
      <x:c r="M288" s="17"/>
    </x:row>
    <x:row r="289">
      <x:c r="I289" s="17"/>
      <x:c r="J289" s="17"/>
      <x:c r="M289" s="17"/>
    </x:row>
    <x:row r="290">
      <x:c r="I290" s="17"/>
      <x:c r="J290" s="17"/>
      <x:c r="M290" s="17"/>
    </x:row>
    <x:row r="291">
      <x:c r="I291" s="17"/>
      <x:c r="J291" s="17"/>
      <x:c r="M291" s="17"/>
    </x:row>
    <x:row r="292">
      <x:c r="I292" s="17"/>
      <x:c r="J292" s="17"/>
      <x:c r="M292" s="17"/>
    </x:row>
    <x:row r="293">
      <x:c r="I293" s="17"/>
      <x:c r="J293" s="17"/>
      <x:c r="M293" s="17"/>
    </x:row>
    <x:row r="294">
      <x:c r="I294" s="17"/>
      <x:c r="J294" s="17"/>
      <x:c r="M294" s="17"/>
    </x:row>
    <x:row r="295">
      <x:c r="I295" s="17"/>
      <x:c r="J295" s="17"/>
      <x:c r="M295" s="17"/>
    </x:row>
    <x:row r="296">
      <x:c r="I296" s="17"/>
      <x:c r="J296" s="17"/>
      <x:c r="M296" s="17"/>
    </x:row>
    <x:row r="297">
      <x:c r="I297" s="17"/>
      <x:c r="J297" s="17"/>
      <x:c r="M297" s="17"/>
    </x:row>
    <x:row r="298">
      <x:c r="I298" s="17"/>
      <x:c r="J298" s="17"/>
      <x:c r="M298" s="17"/>
    </x:row>
    <x:row r="299">
      <x:c r="I299" s="17"/>
      <x:c r="J299" s="17"/>
      <x:c r="M299" s="17"/>
    </x:row>
    <x:row r="300">
      <x:c r="I300" s="17"/>
      <x:c r="J300" s="17"/>
      <x:c r="M300" s="17"/>
    </x:row>
    <x:row r="301">
      <x:c r="I301" s="17"/>
      <x:c r="J301" s="17"/>
      <x:c r="M301" s="17"/>
    </x:row>
    <x:row r="302">
      <x:c r="I302" s="17"/>
      <x:c r="J302" s="17"/>
      <x:c r="M302" s="17"/>
    </x:row>
    <x:row r="303">
      <x:c r="I303" s="17"/>
      <x:c r="J303" s="17"/>
      <x:c r="M303" s="17"/>
    </x:row>
    <x:row r="304">
      <x:c r="I304" s="17"/>
      <x:c r="J304" s="17"/>
      <x:c r="M304" s="17"/>
    </x:row>
    <x:row r="305">
      <x:c r="I305" s="17"/>
      <x:c r="J305" s="17"/>
      <x:c r="M305" s="17"/>
    </x:row>
    <x:row r="306">
      <x:c r="I306" s="17"/>
      <x:c r="J306" s="17"/>
      <x:c r="M306" s="17"/>
    </x:row>
    <x:row r="307">
      <x:c r="I307" s="17"/>
      <x:c r="J307" s="17"/>
      <x:c r="M307" s="17"/>
    </x:row>
    <x:row r="308">
      <x:c r="I308" s="17"/>
      <x:c r="J308" s="17"/>
      <x:c r="M308" s="17"/>
    </x:row>
    <x:row r="309">
      <x:c r="I309" s="17"/>
      <x:c r="J309" s="17"/>
      <x:c r="M309" s="17"/>
    </x:row>
    <x:row r="310">
      <x:c r="I310" s="17"/>
      <x:c r="J310" s="17"/>
      <x:c r="M310" s="17"/>
    </x:row>
    <x:row r="311">
      <x:c r="I311" s="17"/>
      <x:c r="J311" s="17"/>
      <x:c r="M311" s="17"/>
    </x:row>
    <x:row r="312">
      <x:c r="I312" s="17"/>
      <x:c r="J312" s="17"/>
      <x:c r="M312" s="17"/>
    </x:row>
    <x:row r="313">
      <x:c r="I313" s="17"/>
      <x:c r="J313" s="17"/>
      <x:c r="M313" s="17"/>
    </x:row>
    <x:row r="314">
      <x:c r="I314" s="17"/>
      <x:c r="J314" s="17"/>
      <x:c r="M314" s="17"/>
    </x:row>
    <x:row r="315">
      <x:c r="I315" s="17"/>
      <x:c r="J315" s="17"/>
      <x:c r="M315" s="17"/>
    </x:row>
    <x:row r="316">
      <x:c r="I316" s="17"/>
      <x:c r="J316" s="17"/>
      <x:c r="M316" s="17"/>
    </x:row>
    <x:row r="317">
      <x:c r="I317" s="17"/>
      <x:c r="J317" s="17"/>
      <x:c r="M317" s="17"/>
    </x:row>
    <x:row r="318">
      <x:c r="I318" s="17"/>
      <x:c r="J318" s="17"/>
      <x:c r="M318" s="17"/>
    </x:row>
    <x:row r="319">
      <x:c r="I319" s="17"/>
      <x:c r="J319" s="17"/>
      <x:c r="M319" s="17"/>
    </x:row>
    <x:row r="320">
      <x:c r="I320" s="17"/>
      <x:c r="J320" s="17"/>
      <x:c r="M320" s="17"/>
    </x:row>
    <x:row r="321">
      <x:c r="I321" s="17"/>
      <x:c r="J321" s="17"/>
      <x:c r="M321" s="17"/>
    </x:row>
    <x:row r="322">
      <x:c r="I322" s="17"/>
      <x:c r="J322" s="17"/>
      <x:c r="M322" s="17"/>
    </x:row>
    <x:row r="323">
      <x:c r="I323" s="17"/>
      <x:c r="J323" s="17"/>
      <x:c r="M323" s="17"/>
    </x:row>
    <x:row r="324">
      <x:c r="I324" s="17"/>
      <x:c r="J324" s="17"/>
      <x:c r="M324" s="17"/>
    </x:row>
    <x:row r="325">
      <x:c r="I325" s="17"/>
      <x:c r="J325" s="17"/>
      <x:c r="M325" s="17"/>
    </x:row>
    <x:row r="326">
      <x:c r="I326" s="17"/>
      <x:c r="J326" s="17"/>
      <x:c r="M326" s="17"/>
    </x:row>
    <x:row r="327">
      <x:c r="I327" s="17"/>
      <x:c r="J327" s="17"/>
      <x:c r="M327" s="17"/>
    </x:row>
    <x:row r="328">
      <x:c r="I328" s="17"/>
      <x:c r="J328" s="17"/>
      <x:c r="M328" s="17"/>
    </x:row>
    <x:row r="329">
      <x:c r="I329" s="17"/>
      <x:c r="J329" s="17"/>
      <x:c r="M329" s="17"/>
    </x:row>
    <x:row r="330">
      <x:c r="I330" s="17"/>
      <x:c r="J330" s="17"/>
      <x:c r="M330" s="17"/>
    </x:row>
    <x:row r="331">
      <x:c r="I331" s="17"/>
      <x:c r="J331" s="17"/>
      <x:c r="M331" s="17"/>
    </x:row>
    <x:row r="332">
      <x:c r="I332" s="17"/>
      <x:c r="J332" s="17"/>
      <x:c r="M332" s="17"/>
    </x:row>
    <x:row r="333">
      <x:c r="I333" s="17"/>
      <x:c r="J333" s="17"/>
      <x:c r="M333" s="17"/>
    </x:row>
    <x:row r="334">
      <x:c r="I334" s="17"/>
      <x:c r="J334" s="17"/>
      <x:c r="M334" s="17"/>
    </x:row>
    <x:row r="335">
      <x:c r="I335" s="17"/>
      <x:c r="J335" s="17"/>
      <x:c r="M335" s="17"/>
    </x:row>
    <x:row r="336">
      <x:c r="I336" s="17"/>
      <x:c r="J336" s="17"/>
      <x:c r="M336" s="17"/>
    </x:row>
    <x:row r="337">
      <x:c r="I337" s="17"/>
      <x:c r="J337" s="17"/>
      <x:c r="M337" s="17"/>
    </x:row>
    <x:row r="338">
      <x:c r="I338" s="17"/>
      <x:c r="J338" s="17"/>
      <x:c r="M338" s="17"/>
    </x:row>
    <x:row r="339">
      <x:c r="I339" s="17"/>
      <x:c r="J339" s="17"/>
      <x:c r="M339" s="17"/>
    </x:row>
    <x:row r="340">
      <x:c r="I340" s="17"/>
      <x:c r="J340" s="17"/>
      <x:c r="M340" s="17"/>
    </x:row>
    <x:row r="341">
      <x:c r="I341" s="17"/>
      <x:c r="J341" s="17"/>
      <x:c r="M341" s="17"/>
    </x:row>
    <x:row r="342">
      <x:c r="I342" s="17"/>
      <x:c r="J342" s="17"/>
      <x:c r="M342" s="17"/>
    </x:row>
    <x:row r="343">
      <x:c r="I343" s="17"/>
      <x:c r="J343" s="17"/>
      <x:c r="M343" s="17"/>
    </x:row>
    <x:row r="344">
      <x:c r="I344" s="17"/>
      <x:c r="J344" s="17"/>
      <x:c r="M344" s="17"/>
    </x:row>
    <x:row r="345">
      <x:c r="I345" s="17"/>
      <x:c r="J345" s="17"/>
      <x:c r="M345" s="17"/>
    </x:row>
    <x:row r="346">
      <x:c r="I346" s="17"/>
      <x:c r="J346" s="17"/>
      <x:c r="M346" s="17"/>
    </x:row>
    <x:row r="347">
      <x:c r="I347" s="17"/>
      <x:c r="J347" s="17"/>
      <x:c r="M347" s="17"/>
    </x:row>
    <x:row r="348">
      <x:c r="I348" s="17"/>
      <x:c r="J348" s="17"/>
      <x:c r="M348" s="17"/>
    </x:row>
    <x:row r="349">
      <x:c r="I349" s="17"/>
      <x:c r="J349" s="17"/>
      <x:c r="M349" s="17"/>
    </x:row>
    <x:row r="350">
      <x:c r="I350" s="17"/>
      <x:c r="J350" s="17"/>
      <x:c r="M350" s="17"/>
    </x:row>
    <x:row r="351">
      <x:c r="I351" s="17"/>
      <x:c r="J351" s="17"/>
      <x:c r="M351" s="17"/>
    </x:row>
    <x:row r="352">
      <x:c r="I352" s="17"/>
      <x:c r="J352" s="17"/>
      <x:c r="M352" s="17"/>
    </x:row>
    <x:row r="353">
      <x:c r="I353" s="17"/>
      <x:c r="J353" s="17"/>
      <x:c r="M353" s="17"/>
    </x:row>
    <x:row r="354">
      <x:c r="I354" s="17"/>
      <x:c r="J354" s="17"/>
      <x:c r="M354" s="17"/>
    </x:row>
    <x:row r="355">
      <x:c r="I355" s="17"/>
      <x:c r="J355" s="17"/>
      <x:c r="M355" s="17"/>
    </x:row>
    <x:row r="356">
      <x:c r="I356" s="17"/>
      <x:c r="J356" s="17"/>
      <x:c r="M356" s="17"/>
    </x:row>
    <x:row r="357">
      <x:c r="I357" s="17"/>
      <x:c r="J357" s="17"/>
      <x:c r="M357" s="17"/>
    </x:row>
    <x:row r="358">
      <x:c r="I358" s="17"/>
      <x:c r="J358" s="17"/>
      <x:c r="M358" s="17"/>
    </x:row>
    <x:row r="359">
      <x:c r="I359" s="17"/>
      <x:c r="J359" s="17"/>
      <x:c r="M359" s="17"/>
    </x:row>
    <x:row r="360">
      <x:c r="I360" s="17"/>
      <x:c r="J360" s="17"/>
      <x:c r="M360" s="17"/>
    </x:row>
    <x:row r="361">
      <x:c r="I361" s="17"/>
      <x:c r="J361" s="17"/>
      <x:c r="M361" s="17"/>
    </x:row>
    <x:row r="362">
      <x:c r="I362" s="17"/>
      <x:c r="J362" s="17"/>
      <x:c r="M362" s="17"/>
    </x:row>
    <x:row r="363">
      <x:c r="I363" s="17"/>
      <x:c r="J363" s="17"/>
      <x:c r="M363" s="17"/>
    </x:row>
    <x:row r="364">
      <x:c r="I364" s="17"/>
      <x:c r="J364" s="17"/>
      <x:c r="M364" s="17"/>
    </x:row>
    <x:row r="365">
      <x:c r="I365" s="17"/>
      <x:c r="J365" s="17"/>
      <x:c r="M365" s="17"/>
    </x:row>
    <x:row r="366">
      <x:c r="I366" s="17"/>
      <x:c r="J366" s="17"/>
      <x:c r="M366" s="17"/>
    </x:row>
    <x:row r="367">
      <x:c r="I367" s="17"/>
      <x:c r="J367" s="17"/>
      <x:c r="M367" s="17"/>
    </x:row>
    <x:row r="368">
      <x:c r="I368" s="17"/>
      <x:c r="J368" s="17"/>
      <x:c r="M368" s="17"/>
    </x:row>
    <x:row r="369">
      <x:c r="I369" s="17"/>
      <x:c r="J369" s="17"/>
      <x:c r="M369" s="17"/>
    </x:row>
    <x:row r="370">
      <x:c r="I370" s="17"/>
      <x:c r="J370" s="17"/>
      <x:c r="M370" s="17"/>
    </x:row>
    <x:row r="371">
      <x:c r="I371" s="17"/>
      <x:c r="J371" s="17"/>
      <x:c r="M371" s="17"/>
    </x:row>
    <x:row r="372">
      <x:c r="I372" s="17"/>
      <x:c r="J372" s="17"/>
      <x:c r="M372" s="17"/>
    </x:row>
    <x:row r="373">
      <x:c r="I373" s="17"/>
      <x:c r="J373" s="17"/>
      <x:c r="M373" s="17"/>
    </x:row>
    <x:row r="374">
      <x:c r="I374" s="17"/>
      <x:c r="J374" s="17"/>
      <x:c r="M374" s="17"/>
    </x:row>
    <x:row r="375">
      <x:c r="I375" s="17"/>
      <x:c r="J375" s="17"/>
      <x:c r="M375" s="17"/>
    </x:row>
    <x:row r="376">
      <x:c r="I376" s="17"/>
      <x:c r="J376" s="17"/>
      <x:c r="M376" s="17"/>
    </x:row>
    <x:row r="377">
      <x:c r="I377" s="17"/>
      <x:c r="J377" s="17"/>
      <x:c r="M377" s="17"/>
    </x:row>
    <x:row r="378">
      <x:c r="I378" s="17"/>
      <x:c r="J378" s="17"/>
      <x:c r="M378" s="17"/>
    </x:row>
    <x:row r="379">
      <x:c r="I379" s="17"/>
      <x:c r="J379" s="17"/>
      <x:c r="M379" s="17"/>
    </x:row>
    <x:row r="380">
      <x:c r="I380" s="17"/>
      <x:c r="J380" s="17"/>
      <x:c r="M380" s="17"/>
    </x:row>
    <x:row r="381">
      <x:c r="I381" s="17"/>
      <x:c r="J381" s="17"/>
      <x:c r="M381" s="17"/>
    </x:row>
    <x:row r="382">
      <x:c r="I382" s="17"/>
      <x:c r="J382" s="17"/>
      <x:c r="M382" s="17"/>
    </x:row>
    <x:row r="383">
      <x:c r="I383" s="17"/>
      <x:c r="J383" s="17"/>
      <x:c r="M383" s="17"/>
    </x:row>
    <x:row r="384">
      <x:c r="I384" s="17"/>
      <x:c r="J384" s="17"/>
      <x:c r="M384" s="17"/>
    </x:row>
    <x:row r="385">
      <x:c r="I385" s="17"/>
      <x:c r="J385" s="17"/>
      <x:c r="M385" s="17"/>
    </x:row>
    <x:row r="386">
      <x:c r="I386" s="17"/>
      <x:c r="J386" s="17"/>
      <x:c r="M386" s="17"/>
    </x:row>
    <x:row r="387">
      <x:c r="I387" s="17"/>
      <x:c r="J387" s="17"/>
      <x:c r="M387" s="17"/>
    </x:row>
    <x:row r="388">
      <x:c r="I388" s="17"/>
      <x:c r="J388" s="17"/>
      <x:c r="M388" s="17"/>
    </x:row>
    <x:row r="389">
      <x:c r="I389" s="17"/>
      <x:c r="J389" s="17"/>
      <x:c r="M389" s="17"/>
    </x:row>
    <x:row r="390">
      <x:c r="I390" s="17"/>
      <x:c r="J390" s="17"/>
      <x:c r="M390" s="17"/>
    </x:row>
    <x:row r="391">
      <x:c r="I391" s="17"/>
      <x:c r="J391" s="17"/>
      <x:c r="M391" s="17"/>
    </x:row>
    <x:row r="392">
      <x:c r="I392" s="17"/>
      <x:c r="J392" s="17"/>
      <x:c r="M392" s="17"/>
    </x:row>
    <x:row r="393">
      <x:c r="I393" s="17"/>
      <x:c r="J393" s="17"/>
      <x:c r="M393" s="17"/>
    </x:row>
    <x:row r="394">
      <x:c r="I394" s="17"/>
      <x:c r="J394" s="17"/>
      <x:c r="M394" s="17"/>
    </x:row>
    <x:row r="395">
      <x:c r="I395" s="17"/>
      <x:c r="J395" s="17"/>
      <x:c r="M395" s="17"/>
    </x:row>
    <x:row r="396">
      <x:c r="I396" s="17"/>
      <x:c r="J396" s="17"/>
      <x:c r="M396" s="17"/>
    </x:row>
    <x:row r="397">
      <x:c r="I397" s="17"/>
      <x:c r="J397" s="17"/>
      <x:c r="M397" s="17"/>
    </x:row>
    <x:row r="398">
      <x:c r="I398" s="17"/>
      <x:c r="J398" s="17"/>
      <x:c r="M398" s="17"/>
    </x:row>
    <x:row r="399">
      <x:c r="I399" s="17"/>
      <x:c r="J399" s="17"/>
      <x:c r="M399" s="17"/>
    </x:row>
    <x:row r="400">
      <x:c r="I400" s="17"/>
      <x:c r="J400" s="17"/>
      <x:c r="M400" s="17"/>
    </x:row>
    <x:row r="401">
      <x:c r="I401" s="17"/>
      <x:c r="J401" s="17"/>
      <x:c r="M401" s="17"/>
    </x:row>
    <x:row r="402">
      <x:c r="I402" s="17"/>
      <x:c r="J402" s="17"/>
      <x:c r="M402" s="17"/>
    </x:row>
    <x:row r="403">
      <x:c r="I403" s="17"/>
      <x:c r="J403" s="17"/>
      <x:c r="M403" s="17"/>
    </x:row>
    <x:row r="404">
      <x:c r="I404" s="17"/>
      <x:c r="J404" s="17"/>
      <x:c r="M404" s="17"/>
    </x:row>
    <x:row r="405">
      <x:c r="I405" s="17"/>
      <x:c r="J405" s="17"/>
      <x:c r="M405" s="17"/>
    </x:row>
    <x:row r="406">
      <x:c r="I406" s="17"/>
      <x:c r="J406" s="17"/>
      <x:c r="M406" s="17"/>
    </x:row>
    <x:row r="407">
      <x:c r="I407" s="17"/>
      <x:c r="J407" s="17"/>
      <x:c r="M407" s="17"/>
    </x:row>
    <x:row r="408">
      <x:c r="I408" s="17"/>
      <x:c r="J408" s="17"/>
      <x:c r="M408" s="17"/>
    </x:row>
    <x:row r="409">
      <x:c r="I409" s="17"/>
      <x:c r="J409" s="17"/>
      <x:c r="M409" s="17"/>
    </x:row>
    <x:row r="410">
      <x:c r="I410" s="17"/>
      <x:c r="J410" s="17"/>
      <x:c r="M410" s="17"/>
    </x:row>
    <x:row r="411">
      <x:c r="I411" s="17"/>
      <x:c r="J411" s="17"/>
      <x:c r="M411" s="17"/>
    </x:row>
    <x:row r="412">
      <x:c r="I412" s="17"/>
      <x:c r="J412" s="17"/>
      <x:c r="M412" s="17"/>
    </x:row>
    <x:row r="413">
      <x:c r="I413" s="17"/>
      <x:c r="J413" s="17"/>
      <x:c r="M413" s="17"/>
    </x:row>
    <x:row r="414">
      <x:c r="I414" s="17"/>
      <x:c r="J414" s="17"/>
      <x:c r="M414" s="17"/>
    </x:row>
    <x:row r="415">
      <x:c r="I415" s="17"/>
      <x:c r="J415" s="17"/>
      <x:c r="M415" s="17"/>
    </x:row>
    <x:row r="416">
      <x:c r="I416" s="17"/>
      <x:c r="J416" s="17"/>
      <x:c r="M416" s="17"/>
    </x:row>
    <x:row r="417">
      <x:c r="I417" s="17"/>
      <x:c r="J417" s="17"/>
      <x:c r="M417" s="17"/>
    </x:row>
    <x:row r="418">
      <x:c r="I418" s="17"/>
      <x:c r="J418" s="17"/>
      <x:c r="M418" s="17"/>
    </x:row>
    <x:row r="419">
      <x:c r="I419" s="17"/>
      <x:c r="J419" s="17"/>
      <x:c r="M419" s="17"/>
    </x:row>
    <x:row r="420">
      <x:c r="I420" s="17"/>
      <x:c r="J420" s="17"/>
      <x:c r="M420" s="17"/>
    </x:row>
    <x:row r="421">
      <x:c r="I421" s="17"/>
      <x:c r="J421" s="17"/>
      <x:c r="M421" s="17"/>
    </x:row>
    <x:row r="422">
      <x:c r="I422" s="17"/>
      <x:c r="J422" s="17"/>
      <x:c r="M422" s="17"/>
    </x:row>
    <x:row r="423">
      <x:c r="I423" s="17"/>
      <x:c r="J423" s="17"/>
      <x:c r="M423" s="17"/>
    </x:row>
    <x:row r="424">
      <x:c r="I424" s="17"/>
      <x:c r="J424" s="17"/>
      <x:c r="M424" s="17"/>
    </x:row>
    <x:row r="425">
      <x:c r="I425" s="17"/>
      <x:c r="J425" s="17"/>
      <x:c r="M425" s="17"/>
    </x:row>
    <x:row r="426">
      <x:c r="I426" s="17"/>
      <x:c r="J426" s="17"/>
      <x:c r="M426" s="17"/>
    </x:row>
    <x:row r="427">
      <x:c r="I427" s="17"/>
      <x:c r="J427" s="17"/>
      <x:c r="M427" s="17"/>
    </x:row>
    <x:row r="428">
      <x:c r="I428" s="17"/>
      <x:c r="J428" s="17"/>
      <x:c r="M428" s="17"/>
    </x:row>
    <x:row r="429">
      <x:c r="I429" s="17"/>
      <x:c r="J429" s="17"/>
      <x:c r="M429" s="17"/>
    </x:row>
    <x:row r="430">
      <x:c r="I430" s="17"/>
      <x:c r="J430" s="17"/>
      <x:c r="M430" s="17"/>
    </x:row>
    <x:row r="431">
      <x:c r="I431" s="17"/>
      <x:c r="J431" s="17"/>
      <x:c r="M431" s="17"/>
    </x:row>
    <x:row r="432">
      <x:c r="I432" s="17"/>
      <x:c r="J432" s="17"/>
      <x:c r="M432" s="17"/>
    </x:row>
    <x:row r="433">
      <x:c r="I433" s="17"/>
      <x:c r="J433" s="17"/>
      <x:c r="M433" s="17"/>
    </x:row>
    <x:row r="434">
      <x:c r="I434" s="17"/>
      <x:c r="J434" s="17"/>
      <x:c r="M434" s="17"/>
    </x:row>
    <x:row r="435">
      <x:c r="I435" s="17"/>
      <x:c r="J435" s="17"/>
      <x:c r="M435" s="17"/>
    </x:row>
    <x:row r="436">
      <x:c r="I436" s="17"/>
      <x:c r="J436" s="17"/>
      <x:c r="M436" s="17"/>
    </x:row>
    <x:row r="437">
      <x:c r="I437" s="17"/>
      <x:c r="J437" s="17"/>
      <x:c r="M437" s="17"/>
    </x:row>
    <x:row r="438">
      <x:c r="I438" s="17"/>
      <x:c r="J438" s="17"/>
      <x:c r="M438" s="17"/>
    </x:row>
    <x:row r="439">
      <x:c r="I439" s="17"/>
      <x:c r="J439" s="17"/>
      <x:c r="M439" s="17"/>
    </x:row>
    <x:row r="440">
      <x:c r="I440" s="17"/>
      <x:c r="J440" s="17"/>
      <x:c r="M440" s="17"/>
    </x:row>
    <x:row r="441">
      <x:c r="I441" s="17"/>
      <x:c r="J441" s="17"/>
      <x:c r="M441" s="17"/>
    </x:row>
    <x:row r="442">
      <x:c r="I442" s="17"/>
      <x:c r="J442" s="17"/>
      <x:c r="M442" s="17"/>
    </x:row>
    <x:row r="443">
      <x:c r="I443" s="17"/>
      <x:c r="J443" s="17"/>
      <x:c r="M443" s="17"/>
    </x:row>
    <x:row r="444">
      <x:c r="I444" s="17"/>
      <x:c r="J444" s="17"/>
      <x:c r="M444" s="17"/>
    </x:row>
    <x:row r="445">
      <x:c r="I445" s="17"/>
      <x:c r="J445" s="17"/>
      <x:c r="M445" s="17"/>
    </x:row>
    <x:row r="446">
      <x:c r="I446" s="17"/>
      <x:c r="J446" s="17"/>
      <x:c r="M446" s="17"/>
    </x:row>
    <x:row r="447">
      <x:c r="I447" s="17"/>
      <x:c r="J447" s="17"/>
      <x:c r="M447" s="17"/>
    </x:row>
    <x:row r="448">
      <x:c r="I448" s="17"/>
      <x:c r="J448" s="17"/>
      <x:c r="M448" s="17"/>
    </x:row>
    <x:row r="449">
      <x:c r="I449" s="17"/>
      <x:c r="J449" s="17"/>
      <x:c r="M449" s="17"/>
    </x:row>
    <x:row r="450">
      <x:c r="I450" s="17"/>
      <x:c r="J450" s="17"/>
      <x:c r="M450" s="17"/>
    </x:row>
    <x:row r="451">
      <x:c r="I451" s="17"/>
      <x:c r="J451" s="17"/>
      <x:c r="M451" s="17"/>
    </x:row>
    <x:row r="452">
      <x:c r="I452" s="17"/>
      <x:c r="J452" s="17"/>
      <x:c r="M452" s="17"/>
    </x:row>
    <x:row r="453">
      <x:c r="I453" s="17"/>
      <x:c r="J453" s="17"/>
      <x:c r="M453" s="17"/>
    </x:row>
    <x:row r="454">
      <x:c r="I454" s="17"/>
      <x:c r="J454" s="17"/>
      <x:c r="M454" s="17"/>
    </x:row>
    <x:row r="455">
      <x:c r="I455" s="17"/>
      <x:c r="J455" s="17"/>
      <x:c r="M455" s="17"/>
    </x:row>
    <x:row r="456">
      <x:c r="I456" s="17"/>
      <x:c r="J456" s="17"/>
      <x:c r="M456" s="17"/>
    </x:row>
    <x:row r="457">
      <x:c r="I457" s="17"/>
      <x:c r="J457" s="17"/>
      <x:c r="M457" s="17"/>
    </x:row>
    <x:row r="458">
      <x:c r="I458" s="17"/>
      <x:c r="J458" s="17"/>
      <x:c r="M458" s="17"/>
    </x:row>
    <x:row r="459">
      <x:c r="I459" s="17"/>
      <x:c r="J459" s="17"/>
      <x:c r="M459" s="17"/>
    </x:row>
    <x:row r="460">
      <x:c r="I460" s="17"/>
      <x:c r="J460" s="17"/>
      <x:c r="M460" s="17"/>
    </x:row>
    <x:row r="461">
      <x:c r="I461" s="17"/>
      <x:c r="J461" s="17"/>
      <x:c r="M461" s="17"/>
    </x:row>
    <x:row r="462">
      <x:c r="I462" s="17"/>
      <x:c r="J462" s="17"/>
      <x:c r="M462" s="17"/>
    </x:row>
    <x:row r="463">
      <x:c r="I463" s="17"/>
      <x:c r="J463" s="17"/>
      <x:c r="M463" s="17"/>
    </x:row>
    <x:row r="464">
      <x:c r="I464" s="17"/>
      <x:c r="J464" s="17"/>
      <x:c r="M464" s="17"/>
    </x:row>
    <x:row r="465">
      <x:c r="I465" s="17"/>
      <x:c r="J465" s="17"/>
      <x:c r="M465" s="17"/>
    </x:row>
    <x:row r="466">
      <x:c r="I466" s="17"/>
      <x:c r="J466" s="17"/>
      <x:c r="M466" s="17"/>
    </x:row>
    <x:row r="467">
      <x:c r="I467" s="17"/>
      <x:c r="J467" s="17"/>
      <x:c r="M467" s="17"/>
    </x:row>
    <x:row r="468">
      <x:c r="I468" s="17"/>
      <x:c r="J468" s="17"/>
      <x:c r="M468" s="17"/>
    </x:row>
    <x:row r="469">
      <x:c r="I469" s="17"/>
      <x:c r="J469" s="17"/>
      <x:c r="M469" s="17"/>
    </x:row>
    <x:row r="470">
      <x:c r="I470" s="17"/>
      <x:c r="J470" s="17"/>
      <x:c r="M470" s="17"/>
    </x:row>
    <x:row r="471">
      <x:c r="I471" s="17"/>
      <x:c r="J471" s="17"/>
      <x:c r="M471" s="17"/>
    </x:row>
    <x:row r="472">
      <x:c r="I472" s="17"/>
      <x:c r="J472" s="17"/>
      <x:c r="M472" s="17"/>
    </x:row>
    <x:row r="473">
      <x:c r="I473" s="17"/>
      <x:c r="J473" s="17"/>
      <x:c r="M473" s="17"/>
    </x:row>
    <x:row r="474">
      <x:c r="I474" s="17"/>
      <x:c r="J474" s="17"/>
      <x:c r="M474" s="17"/>
    </x:row>
    <x:row r="475">
      <x:c r="I475" s="17"/>
      <x:c r="J475" s="17"/>
      <x:c r="M475" s="17"/>
    </x:row>
    <x:row r="476">
      <x:c r="I476" s="17"/>
      <x:c r="J476" s="17"/>
      <x:c r="M476" s="17"/>
    </x:row>
    <x:row r="477">
      <x:c r="I477" s="17"/>
      <x:c r="J477" s="17"/>
      <x:c r="M477" s="17"/>
    </x:row>
    <x:row r="478">
      <x:c r="I478" s="17"/>
      <x:c r="J478" s="17"/>
      <x:c r="M478" s="17"/>
    </x:row>
    <x:row r="479">
      <x:c r="I479" s="17"/>
      <x:c r="J479" s="17"/>
      <x:c r="M479" s="17"/>
    </x:row>
    <x:row r="480">
      <x:c r="I480" s="17"/>
      <x:c r="J480" s="17"/>
      <x:c r="M480" s="17"/>
    </x:row>
    <x:row r="481">
      <x:c r="I481" s="17"/>
      <x:c r="J481" s="17"/>
      <x:c r="M481" s="17"/>
    </x:row>
    <x:row r="482">
      <x:c r="I482" s="17"/>
      <x:c r="J482" s="17"/>
      <x:c r="M482" s="17"/>
    </x:row>
    <x:row r="483">
      <x:c r="I483" s="17"/>
      <x:c r="J483" s="17"/>
      <x:c r="M483" s="17"/>
    </x:row>
    <x:row r="484">
      <x:c r="I484" s="17"/>
      <x:c r="J484" s="17"/>
      <x:c r="M484" s="17"/>
    </x:row>
    <x:row r="485">
      <x:c r="I485" s="17"/>
      <x:c r="J485" s="17"/>
      <x:c r="M485" s="17"/>
    </x:row>
    <x:row r="486">
      <x:c r="I486" s="17"/>
      <x:c r="J486" s="17"/>
      <x:c r="M486" s="17"/>
    </x:row>
    <x:row r="487">
      <x:c r="I487" s="17"/>
      <x:c r="J487" s="17"/>
      <x:c r="M487" s="17"/>
    </x:row>
    <x:row r="488">
      <x:c r="I488" s="17"/>
      <x:c r="J488" s="17"/>
      <x:c r="M488" s="17"/>
    </x:row>
    <x:row r="489">
      <x:c r="I489" s="17"/>
      <x:c r="J489" s="17"/>
      <x:c r="M489" s="17"/>
    </x:row>
    <x:row r="490">
      <x:c r="I490" s="17"/>
      <x:c r="J490" s="17"/>
      <x:c r="M490" s="17"/>
    </x:row>
    <x:row r="491">
      <x:c r="I491" s="17"/>
      <x:c r="J491" s="17"/>
      <x:c r="M491" s="17"/>
    </x:row>
    <x:row r="492">
      <x:c r="I492" s="17"/>
      <x:c r="J492" s="17"/>
      <x:c r="M492" s="17"/>
    </x:row>
    <x:row r="493">
      <x:c r="I493" s="17"/>
      <x:c r="J493" s="17"/>
      <x:c r="M493" s="17"/>
    </x:row>
    <x:row r="494">
      <x:c r="I494" s="17"/>
      <x:c r="J494" s="17"/>
      <x:c r="M494" s="17"/>
    </x:row>
    <x:row r="495">
      <x:c r="I495" s="17"/>
      <x:c r="J495" s="17"/>
      <x:c r="M495" s="17"/>
    </x:row>
    <x:row r="496">
      <x:c r="I496" s="17"/>
      <x:c r="J496" s="17"/>
      <x:c r="M496" s="17"/>
    </x:row>
    <x:row r="497">
      <x:c r="I497" s="17"/>
      <x:c r="J497" s="17"/>
      <x:c r="M497" s="17"/>
    </x:row>
    <x:row r="498">
      <x:c r="I498" s="17"/>
      <x:c r="J498" s="17"/>
      <x:c r="M498" s="17"/>
    </x:row>
    <x:row r="499">
      <x:c r="I499" s="17"/>
      <x:c r="J499" s="17"/>
      <x:c r="M499" s="17"/>
    </x:row>
    <x:row r="500">
      <x:c r="I500" s="17"/>
      <x:c r="J500" s="17"/>
      <x:c r="M500" s="17"/>
    </x:row>
  </x:sheetData>
  <x:conditionalFormatting sqref="L2:L206">
    <x:cfRule type="expression" dxfId="0" priority="1">
      <x:formula>L2="Approved"</x:formula>
    </x:cfRule>
    <x:cfRule type="expression" dxfId="1" priority="2">
      <x:formula>L2="Approved with Comments"</x:formula>
    </x:cfRule>
    <x:cfRule type="expression" dxfId="2" priority="3">
      <x:formula>L2="Revise &amp; Resubmit"</x:formula>
    </x:cfRule>
    <x:cfRule type="expression" dxfId="3" priority="4">
      <x:formula>L2="Submitted to PAPL"</x:formula>
    </x:cfRule>
  </x:conditionalFormatting>
  <x:conditionalFormatting sqref="G2:G206">
    <x:cfRule type="expression" dxfId="4" priority="5">
      <x:formula>G2="Critical"</x:formula>
    </x:cfRule>
    <x:cfRule type="expression" dxfId="5" priority="6">
      <x:formula>G2="High"</x:formula>
    </x:cfRule>
  </x:conditionalFormatting>
  <x:conditionalFormatting sqref="F2:F206">
    <x:cfRule type="expression" dxfId="6" priority="7">
      <x:formula>LEFT(F2,11)="Conditional"</x:formula>
    </x:cfRule>
  </x:conditionalFormatting>
  <x:dataValidations count="2">
    <x:dataValidation type="list" sqref="L2:L206">
      <x:formula1>"Not Started,Requested from Subcontractor,Received / Internal Review,Submitted to PAPL,Comments Received,Revise &amp; Resubmit,Approved,Approved with Comments,Not Required"</x:formula1>
    </x:dataValidation>
    <x:dataValidation type="list" sqref="G2:G206">
      <x:formula1>"Critical,High,Normal,Low"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d9b0fbcb644f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26" t="str">
        <x:v>PROJECT-WIDE SAMPLE CONTROL REQUIREMENTS</x:v>
      </x:c>
      <x:c r="B1" s="26" t="str"/>
    </x:row>
    <x:row r="2">
      <x:c r="A2" s="27" t="str">
        <x:v>Source</x:v>
      </x:c>
      <x:c r="B2" s="27" t="str">
        <x:v>Requirement</x:v>
      </x:c>
    </x:row>
    <x:row r="3">
      <x:c r="A3" s="14" t="str">
        <x:v>ARCS-25012-ARC-SPC-09900 Rev 2 – 0171 General requirements</x:v>
      </x:c>
      <x:c r="B3" s="14" t="str">
        <x:v>Default submission timing: at least 5 working days before ordering products or starting installation of the relevant work.</x:v>
      </x:c>
    </x:row>
    <x:row r="4">
      <x:c r="A4" s="14" t="str">
        <x:v>ARCS-25012-ARC-SPC-09900 Rev 2 – 0171 General requirements</x:v>
      </x:c>
      <x:c r="B4" s="14" t="str">
        <x:v>Allow at least 5 working days in the program for review of samples and prototypes.</x:v>
      </x:c>
    </x:row>
    <x:row r="5">
      <x:c r="A5" s="14" t="str">
        <x:v>ARCS-25012-ARC-SPC-09900 Rev 2 – submissions</x:v>
      </x:c>
      <x:c r="B5" s="14" t="str">
        <x:v>Identify project, contractor/subcontractor/supplier, manufacturer, product/model/options and relevant contract-document reference on submissions.</x:v>
      </x:c>
    </x:row>
    <x:row r="6">
      <x:c r="A6" s="14" t="str">
        <x:v>ARCS-25012-ARC-SPC-09900 Rev 2 – 5.4 Samples and prototypes</x:v>
      </x:c>
      <x:c r="B6" s="14" t="str">
        <x:v>Only incorporate samples endorsed for inclusion. Retain endorsed samples in good condition on site until Practical Completion; remove unincorporated samples on completion.</x:v>
      </x:c>
    </x:row>
    <x:row r="7">
      <x:c r="A7" s="14" t="str">
        <x:v>AURC-25012-HYD-SPC-00001 Rev 2 – 3.8.9 to 3.8.13</x:v>
      </x:c>
      <x:c r="B7" s="14" t="str">
        <x:v>Coordinate related submissions; do not commence affected work until accepted; keep approved samples on site until PC; installed work must match accepted samples.</x:v>
      </x:c>
    </x:row>
    <x:row r="8">
      <x:c r="A8" s="14" t="str">
        <x:v>AURC-25012-HYD-SPC-00001 Rev 2 – 3.8.10</x:v>
      </x:c>
      <x:c r="B8" s="14" t="str">
        <x:v>Unless otherwise stated: one sample of each designated item plus electronic updated manufacturer data and two copies supporting documents; include ancillary fasteners, flashings and seals.</x:v>
      </x:c>
    </x:row>
    <x:row r="9">
      <x:c r="A9" s="14" t="str">
        <x:v>AURC-25012-FES-SPC-000001 Rev 3 – 3.5.2</x:v>
      </x:c>
      <x:c r="B9" s="14" t="str">
        <x:v>One sample of each designated fire-services item; submit a range where colour/finish choice exists; retain approved samples and match installed work.</x:v>
      </x:c>
    </x:row>
    <x:row r="10">
      <x:c r="A10" s="14" t="str">
        <x:v>AURC-25012-SEC-SPC-000001 Rev 2 – 12.2.2</x:v>
      </x:c>
      <x:c r="B10" s="14" t="str">
        <x:v>One sample of each designated security item; submit a range where colour/finish choice exists; retain approved samples until PC and match installed work.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2" hidden="0" customWidth="1"/>
    <x:col min="3" max="3" width="25" hidden="0" customWidth="1"/>
    <x:col min="4" max="4" width="90" hidden="0" customWidth="1"/>
  </x:cols>
  <x:sheetData>
    <x:row r="1">
      <x:c r="A1" s="6" t="str">
        <x:v>Document / Discipline</x:v>
      </x:c>
      <x:c r="B1" s="6" t="str">
        <x:v>Reviewed</x:v>
      </x:c>
      <x:c r="C1" s="6" t="str">
        <x:v>Included</x:v>
      </x:c>
      <x:c r="D1" s="6" t="str">
        <x:v>Review note</x:v>
      </x:c>
    </x:row>
    <x:row r="2">
      <x:c r="A2" s="24" t="str">
        <x:v>ARCS-25012-ARC-SPC-09900 Rev 2</x:v>
      </x:c>
      <x:c r="B2" s="24" t="str">
        <x:v>Yes</x:v>
      </x:c>
      <x:c r="C2" s="24" t="str">
        <x:v>Yes – comprehensive</x:v>
      </x:c>
      <x:c r="D2" s="24" t="str">
        <x:v>Primary source. Explicit approval samples and sample panels captured across architectural worksections.</x:v>
      </x:c>
    </x:row>
    <x:row r="3">
      <x:c r="A3" s="24" t="str">
        <x:v>25-136-SPEC-STR-01 Rev 0</x:v>
      </x:c>
      <x:c r="B3" s="24" t="str">
        <x:v>Yes</x:v>
      </x:c>
      <x:c r="C3" s="24" t="str">
        <x:v>Yes</x:v>
      </x:c>
      <x:c r="D3" s="24" t="str">
        <x:v>Concrete sample duties cross-checked; duplicates flagged so they are not accidentally counted as extra physical submissions.</x:v>
      </x:c>
    </x:row>
    <x:row r="4">
      <x:c r="A4" s="24" t="str">
        <x:v>AURC-25012-ELE-SPC-000001 Rev 5</x:v>
      </x:c>
      <x:c r="B4" s="24" t="str">
        <x:v>Yes</x:v>
      </x:c>
      <x:c r="C4" s="24" t="str">
        <x:v>Yes</x:v>
      </x:c>
      <x:c r="D4" s="24" t="str">
        <x:v>Electrical sample list is conditional: if required by Architect.</x:v>
      </x:c>
    </x:row>
    <x:row r="5">
      <x:c r="A5" s="24" t="str">
        <x:v>AURC-25012-HYD-SPC-00001 Rev 2</x:v>
      </x:c>
      <x:c r="B5" s="24" t="str">
        <x:v>Yes</x:v>
      </x:c>
      <x:c r="C5" s="24" t="str">
        <x:v>Yes</x:v>
      </x:c>
      <x:c r="D5" s="24" t="str">
        <x:v>General samples plus labels, proprietary pipework accessories, selections schedules and stormwater materials.</x:v>
      </x:c>
    </x:row>
    <x:row r="6">
      <x:c r="A6" s="24" t="str">
        <x:v>AURC-25012-MEC-SPC-000001 Rev 2</x:v>
      </x:c>
      <x:c r="B6" s="24" t="str">
        <x:v>Yes</x:v>
      </x:c>
      <x:c r="C6" s="24" t="str">
        <x:v>Yes</x:v>
      </x:c>
      <x:c r="D6" s="24" t="str">
        <x:v>General mechanical, controls, ductwork, LV accessories, insulation, finishes and identification.</x:v>
      </x:c>
    </x:row>
    <x:row r="7">
      <x:c r="A7" s="24" t="str">
        <x:v>AURC-25012-FES-SPC-000001 Rev 3</x:v>
      </x:c>
      <x:c r="B7" s="24" t="str">
        <x:v>Yes</x:v>
      </x:c>
      <x:c r="C7" s="24" t="str">
        <x:v>Yes</x:v>
      </x:c>
      <x:c r="D7" s="24" t="str">
        <x:v>General designated-item clause and architectural paint-colour sample captured.</x:v>
      </x:c>
    </x:row>
    <x:row r="8">
      <x:c r="A8" s="24" t="str">
        <x:v>AURC-25012-SEC-SPC-000001 Rev 2</x:v>
      </x:c>
      <x:c r="B8" s="24" t="str">
        <x:v>Yes</x:v>
      </x:c>
      <x:c r="C8" s="24" t="str">
        <x:v>Yes</x:v>
      </x:c>
      <x:c r="D8" s="24" t="str">
        <x:v>General designated-item clause, break-glass, REX and labels captured.</x:v>
      </x:c>
    </x:row>
    <x:row r="9">
      <x:c r="A9" s="24" t="str">
        <x:v>COLL-25012-CIV-SPC-00001 Rev B</x:v>
      </x:c>
      <x:c r="B9" s="24" t="str">
        <x:v>Yes</x:v>
      </x:c>
      <x:c r="C9" s="24" t="str">
        <x:v>Yes</x:v>
      </x:c>
      <x:c r="D9" s="24" t="str">
        <x:v>Approval/benchmark samples captured; ordinary testing specimens not treated as design/finish samples unless commercially useful.</x:v>
      </x:c>
    </x:row>
    <x:row r="10">
      <x:c r="A10" s="24" t="str">
        <x:v>JACO-25012-CIV-SPC-00001</x:v>
      </x:c>
      <x:c r="B10" s="24" t="str">
        <x:v>Yes</x:v>
      </x:c>
      <x:c r="C10" s="24" t="str">
        <x:v>Yes</x:v>
      </x:c>
      <x:c r="D10" s="24" t="str">
        <x:v>Airfield-lighting material/equipment sample duty captured.</x:v>
      </x:c>
    </x:row>
    <x:row r="11">
      <x:c r="A11" s="24" t="str">
        <x:v>2025027 ARC PER T4 RL BHS SPEC 2</x:v>
      </x:c>
      <x:c r="B11" s="24" t="str">
        <x:v>Yes</x:v>
      </x:c>
      <x:c r="C11" s="24" t="str">
        <x:v>No explicit approval-sample list identified</x:v>
      </x:c>
      <x:c r="D11" s="24" t="str">
        <x:v>BHS specification includes testing/sample language but no clear material/finish approval-sample schedule comparable with the other specifications.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</x:row>
    <x:row r="2">
      <x:c r="A2" t="str">
        <x:v>Not Started</x:v>
      </x:c>
      <x:c r="B2" t="str">
        <x:v>Critical</x:v>
      </x:c>
    </x:row>
    <x:row r="3">
      <x:c r="A3" t="str">
        <x:v>Requested from Subcontractor</x:v>
      </x:c>
      <x:c r="B3" t="str">
        <x:v>High</x:v>
      </x:c>
    </x:row>
    <x:row r="4">
      <x:c r="A4" t="str">
        <x:v>Received / Internal Review</x:v>
      </x:c>
      <x:c r="B4" t="str">
        <x:v>Normal</x:v>
      </x:c>
    </x:row>
    <x:row r="5">
      <x:c r="A5" t="str">
        <x:v>Submitted to PAPL</x:v>
      </x:c>
      <x:c r="B5" t="str">
        <x:v>Low</x:v>
      </x:c>
    </x:row>
    <x:row r="6">
      <x:c r="A6" t="str">
        <x:v>Comments Received</x:v>
      </x:c>
    </x:row>
    <x:row r="7">
      <x:c r="A7" t="str">
        <x:v>Revise &amp; Resubmit</x:v>
      </x:c>
    </x:row>
    <x:row r="8">
      <x:c r="A8" t="str">
        <x:v>Approved</x:v>
      </x:c>
    </x:row>
    <x:row r="9">
      <x:c r="A9" t="str">
        <x:v>Approved with Comments</x:v>
      </x:c>
    </x:row>
    <x:row r="10">
      <x:c r="A10" t="str">
        <x:v>Not Required</x:v>
      </x:c>
    </x:row>
  </x:sheetData>
  <x:pageMargins left="0.7" right="0.7" top="0.75" bottom="0.75" header="0.3" footer="0.3"/>
</x:worksheet>
</file>